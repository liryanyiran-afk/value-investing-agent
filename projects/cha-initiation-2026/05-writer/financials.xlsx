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损益表" sheetId="1" state="visible" r:id="rId1"/>
    <sheet xmlns:r="http://schemas.openxmlformats.org/officeDocument/2006/relationships" name="2.资产负债表" sheetId="2" state="visible" r:id="rId2"/>
    <sheet xmlns:r="http://schemas.openxmlformats.org/officeDocument/2006/relationships" name="3.现金流量表" sheetId="3" state="visible" r:id="rId3"/>
    <sheet xmlns:r="http://schemas.openxmlformats.org/officeDocument/2006/relationships" name="4.关键指标" sheetId="4" state="visible" r:id="rId4"/>
    <sheet xmlns:r="http://schemas.openxmlformats.org/officeDocument/2006/relationships" name="5.季度趋势" sheetId="5" state="visible" r:id="rId5"/>
    <sheet xmlns:r="http://schemas.openxmlformats.org/officeDocument/2006/relationships" name="6.业务分拆" sheetId="6" state="visible" r:id="rId6"/>
    <sheet xmlns:r="http://schemas.openxmlformats.org/officeDocument/2006/relationships" name="7.同业可比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i val="1"/>
      <color rgb="00666666"/>
      <sz val="8"/>
    </font>
    <font>
      <name val="Calibri"/>
      <b val="1"/>
      <color rgb="00D90429"/>
      <sz val="10"/>
    </font>
    <font>
      <name val="Calibri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2B2D42"/>
      </patternFill>
    </fill>
    <fill>
      <patternFill patternType="solid">
        <fgColor rgb="00F7F8FA"/>
      </patternFill>
    </fill>
    <fill>
      <patternFill patternType="solid">
        <fgColor rgb="00F2F2F2"/>
      </patternFill>
    </fill>
    <fill>
      <patternFill patternType="solid">
        <fgColor rgb="00D9042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 wrapText="1"/>
    </xf>
    <xf numFmtId="0" fontId="1" fillId="5" borderId="1" pivotButton="0" quotePrefix="0" xfId="0"/>
    <xf numFmtId="0" fontId="0" fillId="5" borderId="1" pivotButton="0" quotePrefix="0" xfId="0"/>
    <xf numFmtId="0" fontId="1" fillId="5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5" borderId="1" pivotButton="0" quotePrefix="0" xfId="0"/>
    <xf numFmtId="0" fontId="4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FCE4E4"/>
        </patternFill>
      </fill>
    </dxf>
    <dxf>
      <fill>
        <patternFill patternType="solid">
          <fgColor rgb="00E4FC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c.gov/cgi-bin/browse-edgar?action=getcompany&amp;CIK=0002013649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data.sec.gov/api/xbrl/companyconcept/CIK0002013649/us-gaap/Assets.json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c.gov/Archives/edgar/data/2013649/000110465926067770/tm2615738d1_ex99-1.htm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www.sec.gov/Archives/edgar/data/2013649/000110465926067770/tm2615738d1_ex99-1.htm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www.sec.gov/Archives/edgar/data/2013649/000110465926067770/tm2615738d1_ex99-1.htm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://quote.eastmoney.com/unify/r/105.CHA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8" customWidth="1" min="10" max="10"/>
  </cols>
  <sheetData>
    <row r="1">
      <c r="A1" s="1" t="inlineStr">
        <is>
          <t>指标 (¥千元)</t>
        </is>
      </c>
      <c r="B1" s="1" t="inlineStr">
        <is>
          <t>FY2023</t>
        </is>
      </c>
      <c r="C1" s="1" t="inlineStr">
        <is>
          <t>FY2024</t>
        </is>
      </c>
      <c r="D1" s="1" t="inlineStr">
        <is>
          <t>FY2025</t>
        </is>
      </c>
      <c r="E1" s="1" t="inlineStr">
        <is>
          <t>Q1 2025</t>
        </is>
      </c>
      <c r="F1" s="1" t="inlineStr">
        <is>
          <t>Q1 2026</t>
        </is>
      </c>
      <c r="G1" s="1" t="inlineStr">
        <is>
          <t>YoY 24</t>
        </is>
      </c>
      <c r="H1" s="1" t="inlineStr">
        <is>
          <t>YoY 25</t>
        </is>
      </c>
      <c r="I1" s="1" t="inlineStr">
        <is>
          <t>YoY Q1</t>
        </is>
      </c>
      <c r="J1" s="1" t="inlineStr">
        <is>
          <t>source</t>
        </is>
      </c>
    </row>
    <row r="2">
      <c r="A2" s="2" t="inlineStr">
        <is>
          <t>营业收入</t>
        </is>
      </c>
      <c r="B2" s="3" t="inlineStr">
        <is>
          <t>4,640,171</t>
        </is>
      </c>
      <c r="C2" s="3" t="inlineStr">
        <is>
          <t>12,405,582</t>
        </is>
      </c>
      <c r="D2" s="3" t="inlineStr">
        <is>
          <t>12,907,407</t>
        </is>
      </c>
      <c r="E2" s="3" t="inlineStr">
        <is>
          <t>3,392,700</t>
        </is>
      </c>
      <c r="F2" s="3" t="inlineStr">
        <is>
          <t>3,546,000</t>
        </is>
      </c>
      <c r="G2" s="4" t="inlineStr">
        <is>
          <t>167.4%</t>
        </is>
      </c>
      <c r="H2" s="4" t="inlineStr">
        <is>
          <t>4.0%</t>
        </is>
      </c>
      <c r="I2" s="4" t="inlineStr">
        <is>
          <t>4.5%</t>
        </is>
      </c>
      <c r="J2" s="5" t="inlineStr">
        <is>
          <t>SEC XBRL + 6-K</t>
        </is>
      </c>
    </row>
    <row r="3">
      <c r="A3" s="6" t="inlineStr">
        <is>
          <t>营业成本</t>
        </is>
      </c>
      <c r="B3" s="7" t="inlineStr">
        <is>
          <t>—</t>
        </is>
      </c>
      <c r="C3" s="7" t="inlineStr">
        <is>
          <t>—</t>
        </is>
      </c>
      <c r="D3" s="7" t="inlineStr">
        <is>
          <t>9,002,682</t>
        </is>
      </c>
      <c r="E3" s="7" t="inlineStr">
        <is>
          <t>2,281,900</t>
        </is>
      </c>
      <c r="F3" s="7" t="inlineStr">
        <is>
          <t>2,867,400</t>
        </is>
      </c>
      <c r="G3" s="7" t="inlineStr">
        <is>
          <t>—</t>
        </is>
      </c>
      <c r="H3" s="7" t="inlineStr">
        <is>
          <t>—</t>
        </is>
      </c>
      <c r="I3" s="7" t="inlineStr">
        <is>
          <t>25.7%</t>
        </is>
      </c>
      <c r="J3" s="5" t="inlineStr">
        <is>
          <t>推算 (营收 - 毛利)</t>
        </is>
      </c>
    </row>
    <row r="4">
      <c r="A4" s="6" t="inlineStr">
        <is>
          <t>毛利</t>
        </is>
      </c>
      <c r="B4" s="4" t="inlineStr">
        <is>
          <t>—</t>
        </is>
      </c>
      <c r="C4" s="4" t="inlineStr">
        <is>
          <t>—</t>
        </is>
      </c>
      <c r="D4" s="4" t="inlineStr">
        <is>
          <t>3,914,725</t>
        </is>
      </c>
      <c r="E4" s="4" t="inlineStr">
        <is>
          <t>1,110,800</t>
        </is>
      </c>
      <c r="F4" s="4" t="inlineStr">
        <is>
          <t>678,600</t>
        </is>
      </c>
      <c r="G4" s="4" t="inlineStr">
        <is>
          <t>—</t>
        </is>
      </c>
      <c r="H4" s="4" t="inlineStr">
        <is>
          <t>—</t>
        </is>
      </c>
      <c r="I4" s="8" t="inlineStr">
        <is>
          <t>-38.9%</t>
        </is>
      </c>
      <c r="J4" s="5" t="inlineStr">
        <is>
          <t>推算 (营收 - 成本)</t>
        </is>
      </c>
    </row>
    <row r="5">
      <c r="A5" s="6" t="inlineStr">
        <is>
          <t>毛利率</t>
        </is>
      </c>
      <c r="B5" s="7" t="inlineStr">
        <is>
          <t>—</t>
        </is>
      </c>
      <c r="C5" s="7" t="inlineStr">
        <is>
          <t>—</t>
        </is>
      </c>
      <c r="D5" s="7" t="inlineStr">
        <is>
          <t>30.33</t>
        </is>
      </c>
      <c r="E5" s="7" t="inlineStr">
        <is>
          <t>32.74</t>
        </is>
      </c>
      <c r="F5" s="7" t="inlineStr">
        <is>
          <t>19.13</t>
        </is>
      </c>
      <c r="G5" s="7" t="inlineStr">
        <is>
          <t>—</t>
        </is>
      </c>
      <c r="H5" s="7" t="inlineStr">
        <is>
          <t>—</t>
        </is>
      </c>
      <c r="I5" s="9" t="inlineStr">
        <is>
          <t>-41.6%</t>
        </is>
      </c>
      <c r="J5" s="5" t="inlineStr">
        <is>
          <t>计算 (毛利/营收)</t>
        </is>
      </c>
    </row>
    <row r="6">
      <c r="A6" s="6" t="inlineStr">
        <is>
          <t>销售费用</t>
        </is>
      </c>
      <c r="B6" s="4" t="inlineStr">
        <is>
          <t>—</t>
        </is>
      </c>
      <c r="C6" s="4" t="inlineStr">
        <is>
          <t>—</t>
        </is>
      </c>
      <c r="D6" s="4" t="inlineStr">
        <is>
          <t>—</t>
        </is>
      </c>
      <c r="E6" s="4" t="inlineStr">
        <is>
          <t>299,300</t>
        </is>
      </c>
      <c r="F6" s="4" t="inlineStr">
        <is>
          <t>306,200</t>
        </is>
      </c>
      <c r="G6" s="4" t="inlineStr">
        <is>
          <t>—</t>
        </is>
      </c>
      <c r="H6" s="4" t="inlineStr">
        <is>
          <t>—</t>
        </is>
      </c>
      <c r="I6" s="4" t="inlineStr">
        <is>
          <t>2.3%</t>
        </is>
      </c>
      <c r="J6" s="5" t="inlineStr">
        <is>
          <t>6-K Q1 26 详</t>
        </is>
      </c>
    </row>
    <row r="7">
      <c r="A7" s="6" t="inlineStr">
        <is>
          <t>管理费用</t>
        </is>
      </c>
      <c r="B7" s="7" t="inlineStr">
        <is>
          <t>—</t>
        </is>
      </c>
      <c r="C7" s="7" t="inlineStr">
        <is>
          <t>—</t>
        </is>
      </c>
      <c r="D7" s="7" t="inlineStr">
        <is>
          <t>—</t>
        </is>
      </c>
      <c r="E7" s="7" t="inlineStr">
        <is>
          <t>352,800</t>
        </is>
      </c>
      <c r="F7" s="7" t="inlineStr">
        <is>
          <t>462,000</t>
        </is>
      </c>
      <c r="G7" s="7" t="inlineStr">
        <is>
          <t>—</t>
        </is>
      </c>
      <c r="H7" s="7" t="inlineStr">
        <is>
          <t>—</t>
        </is>
      </c>
      <c r="I7" s="7" t="inlineStr">
        <is>
          <t>31.0%</t>
        </is>
      </c>
      <c r="J7" s="5" t="inlineStr">
        <is>
          <t>6-K Q1 26 详</t>
        </is>
      </c>
    </row>
    <row r="8">
      <c r="A8" s="6" t="inlineStr">
        <is>
          <t>自营店运营成本</t>
        </is>
      </c>
      <c r="B8" s="4" t="inlineStr">
        <is>
          <t>—</t>
        </is>
      </c>
      <c r="C8" s="4" t="inlineStr">
        <is>
          <t>—</t>
        </is>
      </c>
      <c r="D8" s="4" t="inlineStr">
        <is>
          <t>—</t>
        </is>
      </c>
      <c r="E8" s="4" t="inlineStr">
        <is>
          <t>157,000</t>
        </is>
      </c>
      <c r="F8" s="4" t="inlineStr">
        <is>
          <t>497,200</t>
        </is>
      </c>
      <c r="G8" s="4" t="inlineStr">
        <is>
          <t>—</t>
        </is>
      </c>
      <c r="H8" s="4" t="inlineStr">
        <is>
          <t>—</t>
        </is>
      </c>
      <c r="I8" s="4" t="inlineStr">
        <is>
          <t>216.7%</t>
        </is>
      </c>
      <c r="J8" s="5" t="inlineStr">
        <is>
          <t>6-K Q1 26 详</t>
        </is>
      </c>
    </row>
    <row r="9">
      <c r="A9" s="2" t="inlineStr">
        <is>
          <t>营业利润</t>
        </is>
      </c>
      <c r="B9" s="10" t="inlineStr">
        <is>
          <t>1,074,103</t>
        </is>
      </c>
      <c r="C9" s="10" t="inlineStr">
        <is>
          <t>2,886,599</t>
        </is>
      </c>
      <c r="D9" s="10" t="inlineStr">
        <is>
          <t>1,347,237</t>
        </is>
      </c>
      <c r="E9" s="10" t="inlineStr">
        <is>
          <t>820,800</t>
        </is>
      </c>
      <c r="F9" s="10" t="inlineStr">
        <is>
          <t>547,200</t>
        </is>
      </c>
      <c r="G9" s="7" t="inlineStr">
        <is>
          <t>168.7%</t>
        </is>
      </c>
      <c r="H9" s="9" t="inlineStr">
        <is>
          <t>-53.3%</t>
        </is>
      </c>
      <c r="I9" s="9" t="inlineStr">
        <is>
          <t>-33.3%</t>
        </is>
      </c>
      <c r="J9" s="5" t="inlineStr">
        <is>
          <t>SEC XBRL</t>
        </is>
      </c>
    </row>
    <row r="10">
      <c r="A10" s="6" t="inlineStr">
        <is>
          <t>营业利润率</t>
        </is>
      </c>
      <c r="B10" s="4" t="inlineStr">
        <is>
          <t>23.15</t>
        </is>
      </c>
      <c r="C10" s="4" t="inlineStr">
        <is>
          <t>23.27</t>
        </is>
      </c>
      <c r="D10" s="4" t="inlineStr">
        <is>
          <t>10.44</t>
        </is>
      </c>
      <c r="E10" s="4" t="inlineStr">
        <is>
          <t>24.20</t>
        </is>
      </c>
      <c r="F10" s="4" t="inlineStr">
        <is>
          <t>15.43</t>
        </is>
      </c>
      <c r="G10" s="4" t="inlineStr">
        <is>
          <t>0.5%</t>
        </is>
      </c>
      <c r="H10" s="8" t="inlineStr">
        <is>
          <t>-55.1%</t>
        </is>
      </c>
      <c r="I10" s="8" t="inlineStr">
        <is>
          <t>-36.2%</t>
        </is>
      </c>
      <c r="J10" s="5" t="inlineStr">
        <is>
          <t>计算 (营业利润/营收)</t>
        </is>
      </c>
    </row>
    <row r="11">
      <c r="A11" s="2" t="inlineStr">
        <is>
          <t>净利润</t>
        </is>
      </c>
      <c r="B11" s="10" t="inlineStr">
        <is>
          <t>800,903</t>
        </is>
      </c>
      <c r="C11" s="10" t="inlineStr">
        <is>
          <t>2,516,114</t>
        </is>
      </c>
      <c r="D11" s="10" t="inlineStr">
        <is>
          <t>1,171,149</t>
        </is>
      </c>
      <c r="E11" s="10" t="inlineStr">
        <is>
          <t>677,300</t>
        </is>
      </c>
      <c r="F11" s="10" t="inlineStr">
        <is>
          <t>447,700</t>
        </is>
      </c>
      <c r="G11" s="7" t="inlineStr">
        <is>
          <t>214.2%</t>
        </is>
      </c>
      <c r="H11" s="9" t="inlineStr">
        <is>
          <t>-53.5%</t>
        </is>
      </c>
      <c r="I11" s="9" t="inlineStr">
        <is>
          <t>-33.9%</t>
        </is>
      </c>
      <c r="J11" s="5" t="inlineStr">
        <is>
          <t>SEC XBRL + 6-K</t>
        </is>
      </c>
    </row>
    <row r="12">
      <c r="A12" s="6" t="inlineStr">
        <is>
          <t>净利率</t>
        </is>
      </c>
      <c r="B12" s="4" t="inlineStr">
        <is>
          <t>17.26</t>
        </is>
      </c>
      <c r="C12" s="4" t="inlineStr">
        <is>
          <t>20.28</t>
        </is>
      </c>
      <c r="D12" s="4" t="inlineStr">
        <is>
          <t>9.07</t>
        </is>
      </c>
      <c r="E12" s="4" t="inlineStr">
        <is>
          <t>19.96</t>
        </is>
      </c>
      <c r="F12" s="4" t="inlineStr">
        <is>
          <t>12.63</t>
        </is>
      </c>
      <c r="G12" s="4" t="inlineStr">
        <is>
          <t>17.5%</t>
        </is>
      </c>
      <c r="H12" s="8" t="inlineStr">
        <is>
          <t>-55.3%</t>
        </is>
      </c>
      <c r="I12" s="8" t="inlineStr">
        <is>
          <t>-36.7%</t>
        </is>
      </c>
      <c r="J12" s="5" t="inlineStr">
        <is>
          <t>计算 (净利/营收)</t>
        </is>
      </c>
    </row>
    <row r="13">
      <c r="A13" s="6" t="inlineStr">
        <is>
          <t>Non-GAAP 净利</t>
        </is>
      </c>
      <c r="B13" s="7" t="inlineStr">
        <is>
          <t>—</t>
        </is>
      </c>
      <c r="C13" s="7" t="inlineStr">
        <is>
          <t>—</t>
        </is>
      </c>
      <c r="D13" s="7" t="inlineStr">
        <is>
          <t>—</t>
        </is>
      </c>
      <c r="E13" s="7" t="inlineStr">
        <is>
          <t>677,300</t>
        </is>
      </c>
      <c r="F13" s="7" t="inlineStr">
        <is>
          <t>506,700</t>
        </is>
      </c>
      <c r="G13" s="7" t="inlineStr">
        <is>
          <t>—</t>
        </is>
      </c>
      <c r="H13" s="7" t="inlineStr">
        <is>
          <t>—</t>
        </is>
      </c>
      <c r="I13" s="9" t="inlineStr">
        <is>
          <t>-25.2%</t>
        </is>
      </c>
      <c r="J13" s="5" t="inlineStr">
        <is>
          <t>6-K Q1 26</t>
        </is>
      </c>
    </row>
    <row r="14">
      <c r="A14" s="6" t="inlineStr">
        <is>
          <t>Non-GAAP 净利率</t>
        </is>
      </c>
      <c r="B14" s="4" t="inlineStr">
        <is>
          <t>—</t>
        </is>
      </c>
      <c r="C14" s="4" t="inlineStr">
        <is>
          <t>—</t>
        </is>
      </c>
      <c r="D14" s="4" t="inlineStr">
        <is>
          <t>—</t>
        </is>
      </c>
      <c r="E14" s="4" t="inlineStr">
        <is>
          <t>19.96</t>
        </is>
      </c>
      <c r="F14" s="4" t="inlineStr">
        <is>
          <t>14.29</t>
        </is>
      </c>
      <c r="G14" s="4" t="inlineStr">
        <is>
          <t>—</t>
        </is>
      </c>
      <c r="H14" s="4" t="inlineStr">
        <is>
          <t>—</t>
        </is>
      </c>
      <c r="I14" s="8" t="inlineStr">
        <is>
          <t>-28.4%</t>
        </is>
      </c>
      <c r="J14" s="5" t="inlineStr">
        <is>
          <t>计算</t>
        </is>
      </c>
    </row>
    <row r="16">
      <c r="A16" s="11" t="inlineStr">
        <is>
          <t>数据源: SEC EDGAR XBRL (https://data.sec.gov/api/xbrl/companyconcept/CIK0002013649/us-gaap/) + 6-K Q1 2026 (https://www.sec.gov/Archives/edgar/data/2013649/000110465926067770/tm2615738d1_ex99-1.htm)</t>
        </is>
      </c>
    </row>
  </sheetData>
  <conditionalFormatting sqref="B15:F15">
    <cfRule type="cellIs" priority="1" operator="lessThan" dxfId="0">
      <formula>12</formula>
    </cfRule>
  </conditionalFormatting>
  <hyperlinks>
    <hyperlink xmlns:r="http://schemas.openxmlformats.org/officeDocument/2006/relationships" ref="A16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2" customWidth="1" min="7" max="7"/>
  </cols>
  <sheetData>
    <row r="1">
      <c r="A1" s="1" t="inlineStr">
        <is>
          <t>指标 (¥千元)</t>
        </is>
      </c>
      <c r="B1" s="1" t="inlineStr">
        <is>
          <t>2023-12-31</t>
        </is>
      </c>
      <c r="C1" s="1" t="inlineStr">
        <is>
          <t>2024-12-31</t>
        </is>
      </c>
      <c r="D1" s="1" t="inlineStr">
        <is>
          <t>2025-12-31</t>
        </is>
      </c>
      <c r="E1" s="1" t="inlineStr">
        <is>
          <t>2026-03-31</t>
        </is>
      </c>
      <c r="F1" s="1" t="inlineStr">
        <is>
          <t>QoQ 25→Q1 26</t>
        </is>
      </c>
      <c r="G1" s="1" t="inlineStr">
        <is>
          <t>source</t>
        </is>
      </c>
    </row>
    <row r="2">
      <c r="A2" s="2" t="inlineStr">
        <is>
          <t>现金及等价物</t>
        </is>
      </c>
      <c r="B2" s="3" t="inlineStr">
        <is>
          <t>2,322,680</t>
        </is>
      </c>
      <c r="C2" s="3" t="inlineStr">
        <is>
          <t>4,754,783</t>
        </is>
      </c>
      <c r="D2" s="3" t="inlineStr">
        <is>
          <t>7,607,270</t>
        </is>
      </c>
      <c r="E2" s="3" t="inlineStr">
        <is>
          <t>—</t>
        </is>
      </c>
      <c r="F2" s="4" t="inlineStr">
        <is>
          <t>—</t>
        </is>
      </c>
      <c r="G2" s="5" t="inlineStr">
        <is>
          <t>SEC XBRL</t>
        </is>
      </c>
    </row>
    <row r="3">
      <c r="A3" s="2" t="inlineStr">
        <is>
          <t>现金 (含受限+定存)</t>
        </is>
      </c>
      <c r="B3" s="10" t="inlineStr">
        <is>
          <t>—</t>
        </is>
      </c>
      <c r="C3" s="10" t="inlineStr">
        <is>
          <t>—</t>
        </is>
      </c>
      <c r="D3" s="10" t="inlineStr">
        <is>
          <t>7,892,400</t>
        </is>
      </c>
      <c r="E3" s="10" t="inlineStr">
        <is>
          <t>7,146,300</t>
        </is>
      </c>
      <c r="F3" s="9" t="inlineStr">
        <is>
          <t>-9.5%</t>
        </is>
      </c>
      <c r="G3" s="5" t="inlineStr">
        <is>
          <t>6-K Q1 26</t>
        </is>
      </c>
    </row>
    <row r="4">
      <c r="A4" s="6" t="inlineStr">
        <is>
          <t>应收账款 (估)</t>
        </is>
      </c>
      <c r="B4" s="4" t="inlineStr">
        <is>
          <t>—</t>
        </is>
      </c>
      <c r="C4" s="4" t="inlineStr">
        <is>
          <t>—</t>
        </is>
      </c>
      <c r="D4" s="4" t="inlineStr">
        <is>
          <t>—</t>
        </is>
      </c>
      <c r="E4" s="4" t="inlineStr">
        <is>
          <t>—</t>
        </is>
      </c>
      <c r="F4" s="4" t="inlineStr">
        <is>
          <t>—</t>
        </is>
      </c>
      <c r="G4" s="5" t="inlineStr">
        <is>
          <t>未披露</t>
        </is>
      </c>
    </row>
    <row r="5">
      <c r="A5" s="6" t="inlineStr">
        <is>
          <t>存货 (估)</t>
        </is>
      </c>
      <c r="B5" s="7" t="inlineStr">
        <is>
          <t>—</t>
        </is>
      </c>
      <c r="C5" s="7" t="inlineStr">
        <is>
          <t>—</t>
        </is>
      </c>
      <c r="D5" s="7" t="inlineStr">
        <is>
          <t>—</t>
        </is>
      </c>
      <c r="E5" s="7" t="inlineStr">
        <is>
          <t>—</t>
        </is>
      </c>
      <c r="F5" s="7" t="inlineStr">
        <is>
          <t>—</t>
        </is>
      </c>
      <c r="G5" s="5" t="inlineStr">
        <is>
          <t>未披露</t>
        </is>
      </c>
    </row>
    <row r="6">
      <c r="A6" s="6" t="inlineStr">
        <is>
          <t>流动资产合计 (估)</t>
        </is>
      </c>
      <c r="B6" s="4" t="inlineStr">
        <is>
          <t>—</t>
        </is>
      </c>
      <c r="C6" s="4" t="inlineStr">
        <is>
          <t>—</t>
        </is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  <c r="G6" s="5" t="inlineStr">
        <is>
          <t>未披露</t>
        </is>
      </c>
    </row>
    <row r="7">
      <c r="A7" s="6" t="inlineStr">
        <is>
          <t>固定资产 (估)</t>
        </is>
      </c>
      <c r="B7" s="7" t="inlineStr">
        <is>
          <t>—</t>
        </is>
      </c>
      <c r="C7" s="7" t="inlineStr">
        <is>
          <t>—</t>
        </is>
      </c>
      <c r="D7" s="7" t="inlineStr">
        <is>
          <t>—</t>
        </is>
      </c>
      <c r="E7" s="7" t="inlineStr">
        <is>
          <t>—</t>
        </is>
      </c>
      <c r="F7" s="7" t="inlineStr">
        <is>
          <t>—</t>
        </is>
      </c>
      <c r="G7" s="5" t="inlineStr">
        <is>
          <t>未披露</t>
        </is>
      </c>
    </row>
    <row r="8">
      <c r="A8" s="2" t="inlineStr">
        <is>
          <t>**总资产**</t>
        </is>
      </c>
      <c r="B8" s="3" t="inlineStr">
        <is>
          <t>—</t>
        </is>
      </c>
      <c r="C8" s="3" t="inlineStr">
        <is>
          <t>6,596,106</t>
        </is>
      </c>
      <c r="D8" s="3" t="inlineStr">
        <is>
          <t>11,462,983</t>
        </is>
      </c>
      <c r="E8" s="3" t="inlineStr">
        <is>
          <t>—</t>
        </is>
      </c>
      <c r="F8" s="4" t="inlineStr">
        <is>
          <t>—</t>
        </is>
      </c>
      <c r="G8" s="5" t="inlineStr">
        <is>
          <t>SEC XBRL</t>
        </is>
      </c>
    </row>
    <row r="9">
      <c r="A9" s="6" t="inlineStr">
        <is>
          <t>短期借款 (估)</t>
        </is>
      </c>
      <c r="B9" s="7" t="inlineStr">
        <is>
          <t>—</t>
        </is>
      </c>
      <c r="C9" s="7" t="inlineStr">
        <is>
          <t>—</t>
        </is>
      </c>
      <c r="D9" s="7" t="inlineStr">
        <is>
          <t>—</t>
        </is>
      </c>
      <c r="E9" s="7" t="inlineStr">
        <is>
          <t>—</t>
        </is>
      </c>
      <c r="F9" s="7" t="inlineStr">
        <is>
          <t>—</t>
        </is>
      </c>
      <c r="G9" s="5" t="inlineStr">
        <is>
          <t>未披露</t>
        </is>
      </c>
    </row>
    <row r="10">
      <c r="A10" s="6" t="inlineStr">
        <is>
          <t>应付账款 (估)</t>
        </is>
      </c>
      <c r="B10" s="4" t="inlineStr">
        <is>
          <t>—</t>
        </is>
      </c>
      <c r="C10" s="4" t="inlineStr">
        <is>
          <t>—</t>
        </is>
      </c>
      <c r="D10" s="4" t="inlineStr">
        <is>
          <t>—</t>
        </is>
      </c>
      <c r="E10" s="4" t="inlineStr">
        <is>
          <t>—</t>
        </is>
      </c>
      <c r="F10" s="4" t="inlineStr">
        <is>
          <t>—</t>
        </is>
      </c>
      <c r="G10" s="5" t="inlineStr">
        <is>
          <t>未披露</t>
        </is>
      </c>
    </row>
    <row r="11">
      <c r="A11" s="6" t="inlineStr">
        <is>
          <t>流动负债合计 (估)</t>
        </is>
      </c>
      <c r="B11" s="7" t="inlineStr">
        <is>
          <t>—</t>
        </is>
      </c>
      <c r="C11" s="7" t="inlineStr">
        <is>
          <t>—</t>
        </is>
      </c>
      <c r="D11" s="7" t="inlineStr">
        <is>
          <t>—</t>
        </is>
      </c>
      <c r="E11" s="7" t="inlineStr">
        <is>
          <t>—</t>
        </is>
      </c>
      <c r="F11" s="7" t="inlineStr">
        <is>
          <t>—</t>
        </is>
      </c>
      <c r="G11" s="5" t="inlineStr">
        <is>
          <t>未披露</t>
        </is>
      </c>
    </row>
    <row r="12">
      <c r="A12" s="6" t="inlineStr">
        <is>
          <t>长期借款 (估)</t>
        </is>
      </c>
      <c r="B12" s="4" t="inlineStr">
        <is>
          <t>—</t>
        </is>
      </c>
      <c r="C12" s="4" t="inlineStr">
        <is>
          <t>—</t>
        </is>
      </c>
      <c r="D12" s="4" t="inlineStr">
        <is>
          <t>—</t>
        </is>
      </c>
      <c r="E12" s="4" t="inlineStr">
        <is>
          <t>—</t>
        </is>
      </c>
      <c r="F12" s="4" t="inlineStr">
        <is>
          <t>—</t>
        </is>
      </c>
      <c r="G12" s="5" t="inlineStr">
        <is>
          <t>未披露</t>
        </is>
      </c>
    </row>
    <row r="13">
      <c r="A13" s="6" t="inlineStr">
        <is>
          <t>**总负债** (推算)</t>
        </is>
      </c>
      <c r="B13" s="7" t="inlineStr">
        <is>
          <t>—</t>
        </is>
      </c>
      <c r="C13" s="7" t="inlineStr">
        <is>
          <t>—</t>
        </is>
      </c>
      <c r="D13" s="7" t="inlineStr">
        <is>
          <t>—</t>
        </is>
      </c>
      <c r="E13" s="7" t="inlineStr">
        <is>
          <t>—</t>
        </is>
      </c>
      <c r="F13" s="7" t="inlineStr">
        <is>
          <t>—</t>
        </is>
      </c>
      <c r="G13" s="5" t="inlineStr">
        <is>
          <t>未直接披露</t>
        </is>
      </c>
    </row>
    <row r="14">
      <c r="A14" s="2" t="inlineStr">
        <is>
          <t>**股东权益**</t>
        </is>
      </c>
      <c r="B14" s="3" t="inlineStr">
        <is>
          <t>—</t>
        </is>
      </c>
      <c r="C14" s="3" t="inlineStr">
        <is>
          <t>2,653,905</t>
        </is>
      </c>
      <c r="D14" s="3" t="inlineStr">
        <is>
          <t>7,341,802</t>
        </is>
      </c>
      <c r="E14" s="3" t="inlineStr">
        <is>
          <t>—</t>
        </is>
      </c>
      <c r="F14" s="4" t="inlineStr">
        <is>
          <t>—</t>
        </is>
      </c>
      <c r="G14" s="5" t="inlineStr">
        <is>
          <t>SEC XBRL</t>
        </is>
      </c>
    </row>
    <row r="15">
      <c r="A15" s="6" t="inlineStr">
        <is>
          <t>资产负债率 (推算)</t>
        </is>
      </c>
      <c r="B15" s="7" t="inlineStr">
        <is>
          <t>—</t>
        </is>
      </c>
      <c r="C15" s="7" t="inlineStr">
        <is>
          <t>—</t>
        </is>
      </c>
      <c r="D15" s="7" t="inlineStr">
        <is>
          <t>—</t>
        </is>
      </c>
      <c r="E15" s="7" t="inlineStr">
        <is>
          <t>—</t>
        </is>
      </c>
      <c r="F15" s="7" t="inlineStr">
        <is>
          <t>—</t>
        </is>
      </c>
      <c r="G15" s="5" t="inlineStr">
        <is>
          <t>—</t>
        </is>
      </c>
    </row>
    <row r="17">
      <c r="A17" s="11" t="inlineStr">
        <is>
          <t>数据源: SEC XBRL + 6-K Q1 2026. 标注 '未披露' = SEC 没单独列, 标注 '估' = 推算</t>
        </is>
      </c>
    </row>
  </sheetData>
  <hyperlinks>
    <hyperlink xmlns:r="http://schemas.openxmlformats.org/officeDocument/2006/relationships" ref="A17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35" customWidth="1" min="6" max="6"/>
  </cols>
  <sheetData>
    <row r="1">
      <c r="A1" s="1" t="inlineStr">
        <is>
          <t>指标 (¥千元)</t>
        </is>
      </c>
      <c r="B1" s="1" t="inlineStr">
        <is>
          <t>FY2023</t>
        </is>
      </c>
      <c r="C1" s="1" t="inlineStr">
        <is>
          <t>FY2024</t>
        </is>
      </c>
      <c r="D1" s="1" t="inlineStr">
        <is>
          <t>FY2025</t>
        </is>
      </c>
      <c r="E1" s="1" t="inlineStr">
        <is>
          <t>Q1 2026</t>
        </is>
      </c>
      <c r="F1" s="1" t="inlineStr">
        <is>
          <t>source</t>
        </is>
      </c>
    </row>
    <row r="2">
      <c r="A2" s="2" t="inlineStr">
        <is>
          <t>**经营现金流净额** (估)</t>
        </is>
      </c>
      <c r="B2" s="3" t="inlineStr">
        <is>
          <t>—</t>
        </is>
      </c>
      <c r="C2" s="3" t="inlineStr">
        <is>
          <t>—</t>
        </is>
      </c>
      <c r="D2" s="3" t="inlineStr">
        <is>
          <t>—</t>
        </is>
      </c>
      <c r="E2" s="3" t="inlineStr">
        <is>
          <t>(560,000)</t>
        </is>
      </c>
      <c r="F2" s="5" t="inlineStr">
        <is>
          <t>推算 (Q1 26 现金消耗 - 投资 - 股权激励)</t>
        </is>
      </c>
    </row>
    <row r="3">
      <c r="A3" s="6" t="inlineStr">
        <is>
          <t>**投资现金流净额** (估)</t>
        </is>
      </c>
      <c r="B3" s="7" t="inlineStr">
        <is>
          <t>—</t>
        </is>
      </c>
      <c r="C3" s="7" t="inlineStr">
        <is>
          <t>—</t>
        </is>
      </c>
      <c r="D3" s="7" t="inlineStr">
        <is>
          <t>—</t>
        </is>
      </c>
      <c r="E3" s="7" t="inlineStr">
        <is>
          <t>(120,000)</t>
        </is>
      </c>
      <c r="F3" s="5" t="inlineStr">
        <is>
          <t>推算</t>
        </is>
      </c>
    </row>
    <row r="4">
      <c r="A4" s="6" t="inlineStr">
        <is>
          <t>**融资现金流净额** (估)</t>
        </is>
      </c>
      <c r="B4" s="4" t="inlineStr">
        <is>
          <t>—</t>
        </is>
      </c>
      <c r="C4" s="4" t="inlineStr">
        <is>
          <t>—</t>
        </is>
      </c>
      <c r="D4" s="4" t="inlineStr">
        <is>
          <t>—</t>
        </is>
      </c>
      <c r="E4" s="4" t="inlineStr">
        <is>
          <t>0</t>
        </is>
      </c>
      <c r="F4" s="5" t="inlineStr">
        <is>
          <t>无重大融资</t>
        </is>
      </c>
    </row>
    <row r="5">
      <c r="A5" s="6" t="inlineStr">
        <is>
          <t>**汇率影响** (估)</t>
        </is>
      </c>
      <c r="B5" s="7" t="inlineStr">
        <is>
          <t>—</t>
        </is>
      </c>
      <c r="C5" s="7" t="inlineStr">
        <is>
          <t>—</t>
        </is>
      </c>
      <c r="D5" s="7" t="inlineStr">
        <is>
          <t>—</t>
        </is>
      </c>
      <c r="E5" s="7" t="inlineStr">
        <is>
          <t>(1,000)</t>
        </is>
      </c>
      <c r="F5" s="5" t="inlineStr">
        <is>
          <t>—</t>
        </is>
      </c>
    </row>
    <row r="6">
      <c r="A6" s="2" t="inlineStr">
        <is>
          <t>**现金净变化**</t>
        </is>
      </c>
      <c r="B6" s="3" t="inlineStr">
        <is>
          <t>1,644,000</t>
        </is>
      </c>
      <c r="C6" s="3" t="inlineStr">
        <is>
          <t>2,432,103</t>
        </is>
      </c>
      <c r="D6" s="3" t="inlineStr">
        <is>
          <t>2,852,487</t>
        </is>
      </c>
      <c r="E6" s="3" t="inlineStr">
        <is>
          <t>(746,100)</t>
        </is>
      </c>
      <c r="F6" s="5" t="inlineStr">
        <is>
          <t>SEC XBRL 推算</t>
        </is>
      </c>
    </row>
    <row r="7">
      <c r="A7" s="2" t="inlineStr">
        <is>
          <t>**期末现金** (含受限+定存)</t>
        </is>
      </c>
      <c r="B7" s="10" t="inlineStr">
        <is>
          <t>—</t>
        </is>
      </c>
      <c r="C7" s="10" t="inlineStr">
        <is>
          <t>—</t>
        </is>
      </c>
      <c r="D7" s="10" t="inlineStr">
        <is>
          <t>7,892,400</t>
        </is>
      </c>
      <c r="E7" s="10" t="inlineStr">
        <is>
          <t>7,146,300</t>
        </is>
      </c>
      <c r="F7" s="5" t="inlineStr">
        <is>
          <t>6-K Q1 26</t>
        </is>
      </c>
    </row>
    <row r="8">
      <c r="A8" s="6" t="inlineStr">
        <is>
          <t>**期末现金 (纯)**</t>
        </is>
      </c>
      <c r="B8" s="4" t="inlineStr">
        <is>
          <t>2,322,680</t>
        </is>
      </c>
      <c r="C8" s="4" t="inlineStr">
        <is>
          <t>4,754,783</t>
        </is>
      </c>
      <c r="D8" s="4" t="inlineStr">
        <is>
          <t>7,607,270</t>
        </is>
      </c>
      <c r="E8" s="4" t="inlineStr">
        <is>
          <t>—</t>
        </is>
      </c>
      <c r="F8" s="5" t="inlineStr">
        <is>
          <t>SEC XBRL</t>
        </is>
      </c>
    </row>
    <row r="9">
      <c r="A9" s="6" t="inlineStr">
        <is>
          <t>**自由现金流 (OCF-CapEx)** (估)</t>
        </is>
      </c>
      <c r="B9" s="7" t="inlineStr">
        <is>
          <t>—</t>
        </is>
      </c>
      <c r="C9" s="7" t="inlineStr">
        <is>
          <t>—</t>
        </is>
      </c>
      <c r="D9" s="7" t="inlineStr">
        <is>
          <t>—</t>
        </is>
      </c>
      <c r="E9" s="7" t="inlineStr">
        <is>
          <t>(650,000)</t>
        </is>
      </c>
      <c r="F9" s="5" t="inlineStr">
        <is>
          <t>推算 (Q1 26 经营 - 假设 CapEx)</t>
        </is>
      </c>
    </row>
    <row r="11">
      <c r="A11" s="11" t="inlineStr">
        <is>
          <t>数据源: SEC XBRL 推算. Q1 26 数据来自 6-K 季报. 现金流明细未单独披露, 净变化用期末现金差值推算</t>
        </is>
      </c>
    </row>
  </sheetData>
  <hyperlinks>
    <hyperlink xmlns:r="http://schemas.openxmlformats.org/officeDocument/2006/relationships" ref="A1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32" customWidth="1" min="6" max="6"/>
    <col width="16" customWidth="1" min="7" max="7"/>
  </cols>
  <sheetData>
    <row r="1">
      <c r="A1" s="1" t="inlineStr">
        <is>
          <t>指标</t>
        </is>
      </c>
      <c r="B1" s="1" t="inlineStr">
        <is>
          <t>FY2023</t>
        </is>
      </c>
      <c r="C1" s="1" t="inlineStr">
        <is>
          <t>FY2024</t>
        </is>
      </c>
      <c r="D1" s="1" t="inlineStr">
        <is>
          <t>FY2025</t>
        </is>
      </c>
      <c r="E1" s="1" t="inlineStr">
        <is>
          <t>Q1 2026</t>
        </is>
      </c>
      <c r="F1" s="1" t="inlineStr">
        <is>
          <t>计算公式</t>
        </is>
      </c>
      <c r="G1" s="1" t="inlineStr">
        <is>
          <t>source</t>
        </is>
      </c>
    </row>
    <row r="2">
      <c r="A2" s="12" t="inlineStr">
        <is>
          <t>**增长率 (Growth)**</t>
        </is>
      </c>
      <c r="B2" s="13" t="n"/>
      <c r="C2" s="13" t="n"/>
      <c r="D2" s="13" t="n"/>
      <c r="E2" s="13" t="n"/>
      <c r="F2" s="13" t="n"/>
      <c r="G2" s="13" t="n"/>
    </row>
    <row r="3">
      <c r="A3" s="6" t="inlineStr">
        <is>
          <t>营收 YoY (%)</t>
        </is>
      </c>
      <c r="B3" s="7" t="inlineStr">
        <is>
          <t>—</t>
        </is>
      </c>
      <c r="C3" s="7" t="inlineStr">
        <is>
          <t>167.30</t>
        </is>
      </c>
      <c r="D3" s="7" t="inlineStr">
        <is>
          <t>4.00</t>
        </is>
      </c>
      <c r="E3" s="7" t="inlineStr">
        <is>
          <t>4.50</t>
        </is>
      </c>
      <c r="F3" s="5" t="inlineStr">
        <is>
          <t>(当期 - 上期) / 上期</t>
        </is>
      </c>
      <c r="G3" s="5" t="inlineStr">
        <is>
          <t>SEC XBRL</t>
        </is>
      </c>
    </row>
    <row r="4">
      <c r="A4" s="6" t="inlineStr">
        <is>
          <t>营业利润 YoY (%)</t>
        </is>
      </c>
      <c r="B4" s="4" t="inlineStr">
        <is>
          <t>—</t>
        </is>
      </c>
      <c r="C4" s="4" t="inlineStr">
        <is>
          <t>168.70</t>
        </is>
      </c>
      <c r="D4" s="4" t="inlineStr">
        <is>
          <t>-53.30</t>
        </is>
      </c>
      <c r="E4" s="4" t="inlineStr">
        <is>
          <t>-33.30</t>
        </is>
      </c>
      <c r="F4" s="5" t="inlineStr">
        <is>
          <t>(当期 - 上期) / 上期</t>
        </is>
      </c>
      <c r="G4" s="5" t="inlineStr">
        <is>
          <t>SEC XBRL</t>
        </is>
      </c>
    </row>
    <row r="5">
      <c r="A5" s="6" t="inlineStr">
        <is>
          <t>净利润 YoY (%)</t>
        </is>
      </c>
      <c r="B5" s="7" t="inlineStr">
        <is>
          <t>—</t>
        </is>
      </c>
      <c r="C5" s="7" t="inlineStr">
        <is>
          <t>214.20</t>
        </is>
      </c>
      <c r="D5" s="7" t="inlineStr">
        <is>
          <t>-53.50</t>
        </is>
      </c>
      <c r="E5" s="7" t="inlineStr">
        <is>
          <t>-33.90</t>
        </is>
      </c>
      <c r="F5" s="5" t="inlineStr">
        <is>
          <t>(当期 - 上期) / 上期</t>
        </is>
      </c>
      <c r="G5" s="5" t="inlineStr">
        <is>
          <t>SEC XBRL</t>
        </is>
      </c>
    </row>
    <row r="6">
      <c r="A6" s="12" t="inlineStr">
        <is>
          <t>**利润率 (Profitability)**</t>
        </is>
      </c>
      <c r="B6" s="13" t="n"/>
      <c r="C6" s="13" t="n"/>
      <c r="D6" s="13" t="n"/>
      <c r="E6" s="13" t="n"/>
      <c r="F6" s="13" t="n"/>
      <c r="G6" s="13" t="n"/>
    </row>
    <row r="7">
      <c r="A7" s="6" t="inlineStr">
        <is>
          <t>毛利率 (%)</t>
        </is>
      </c>
      <c r="B7" s="7" t="inlineStr">
        <is>
          <t>—</t>
        </is>
      </c>
      <c r="C7" s="7" t="inlineStr">
        <is>
          <t>—</t>
        </is>
      </c>
      <c r="D7" s="7" t="inlineStr">
        <is>
          <t>30.30</t>
        </is>
      </c>
      <c r="E7" s="7" t="inlineStr">
        <is>
          <t>19.10</t>
        </is>
      </c>
      <c r="F7" s="5" t="inlineStr">
        <is>
          <t>(营收 - 成本) / 营收</t>
        </is>
      </c>
      <c r="G7" s="5" t="inlineStr">
        <is>
          <t>推算</t>
        </is>
      </c>
    </row>
    <row r="8">
      <c r="A8" s="6" t="inlineStr">
        <is>
          <t>营业利润率 (%)</t>
        </is>
      </c>
      <c r="B8" s="4" t="inlineStr">
        <is>
          <t>23.10</t>
        </is>
      </c>
      <c r="C8" s="4" t="inlineStr">
        <is>
          <t>23.30</t>
        </is>
      </c>
      <c r="D8" s="4" t="inlineStr">
        <is>
          <t>10.40</t>
        </is>
      </c>
      <c r="E8" s="4" t="inlineStr">
        <is>
          <t>15.40</t>
        </is>
      </c>
      <c r="F8" s="5" t="inlineStr">
        <is>
          <t>营业利润 / 营收</t>
        </is>
      </c>
      <c r="G8" s="5" t="inlineStr">
        <is>
          <t>计算</t>
        </is>
      </c>
    </row>
    <row r="9">
      <c r="A9" s="6" t="inlineStr">
        <is>
          <t>净利率 (%)</t>
        </is>
      </c>
      <c r="B9" s="7" t="inlineStr">
        <is>
          <t>17.30</t>
        </is>
      </c>
      <c r="C9" s="7" t="inlineStr">
        <is>
          <t>20.30</t>
        </is>
      </c>
      <c r="D9" s="7" t="inlineStr">
        <is>
          <t>9.10</t>
        </is>
      </c>
      <c r="E9" s="7" t="inlineStr">
        <is>
          <t>12.60</t>
        </is>
      </c>
      <c r="F9" s="5" t="inlineStr">
        <is>
          <t>净利润 / 营收</t>
        </is>
      </c>
      <c r="G9" s="5" t="inlineStr">
        <is>
          <t>计算</t>
        </is>
      </c>
    </row>
    <row r="10">
      <c r="A10" s="6" t="inlineStr">
        <is>
          <t>Non-GAAP 净利率 (%)</t>
        </is>
      </c>
      <c r="B10" s="4" t="inlineStr">
        <is>
          <t>—</t>
        </is>
      </c>
      <c r="C10" s="4" t="inlineStr">
        <is>
          <t>—</t>
        </is>
      </c>
      <c r="D10" s="4" t="inlineStr">
        <is>
          <t>—</t>
        </is>
      </c>
      <c r="E10" s="4" t="inlineStr">
        <is>
          <t>14.30</t>
        </is>
      </c>
      <c r="F10" s="5" t="inlineStr">
        <is>
          <t>Non-GAAP 净利 / 营收</t>
        </is>
      </c>
      <c r="G10" s="5" t="inlineStr">
        <is>
          <t>6-K</t>
        </is>
      </c>
    </row>
    <row r="11">
      <c r="A11" s="12" t="inlineStr">
        <is>
          <t>**运营效率 (Efficiency)**</t>
        </is>
      </c>
      <c r="B11" s="13" t="n"/>
      <c r="C11" s="13" t="n"/>
      <c r="D11" s="13" t="n"/>
      <c r="E11" s="13" t="n"/>
      <c r="F11" s="13" t="n"/>
      <c r="G11" s="13" t="n"/>
    </row>
    <row r="12">
      <c r="A12" s="6" t="inlineStr">
        <is>
          <t>资产周转率 (次/年)</t>
        </is>
      </c>
      <c r="B12" s="4" t="inlineStr">
        <is>
          <t>—</t>
        </is>
      </c>
      <c r="C12" s="4" t="inlineStr">
        <is>
          <t>—</t>
        </is>
      </c>
      <c r="D12" s="4" t="inlineStr">
        <is>
          <t>1.13</t>
        </is>
      </c>
      <c r="E12" s="4" t="inlineStr">
        <is>
          <t>—</t>
        </is>
      </c>
      <c r="F12" s="5" t="inlineStr">
        <is>
          <t>营收 / 总资产 (期末)</t>
        </is>
      </c>
      <c r="G12" s="5" t="inlineStr">
        <is>
          <t>推算</t>
        </is>
      </c>
    </row>
    <row r="13">
      <c r="A13" s="12" t="inlineStr">
        <is>
          <t>应收账款周转天数 (估)</t>
        </is>
      </c>
      <c r="B13" s="13" t="n"/>
      <c r="C13" s="13" t="n"/>
      <c r="D13" s="13" t="n"/>
      <c r="E13" s="13" t="n"/>
      <c r="F13" s="13" t="n"/>
      <c r="G13" s="13" t="n"/>
    </row>
    <row r="14">
      <c r="A14" s="12" t="inlineStr">
        <is>
          <t>存货周转天数 (估)</t>
        </is>
      </c>
      <c r="B14" s="13" t="n"/>
      <c r="C14" s="13" t="n"/>
      <c r="D14" s="13" t="n"/>
      <c r="E14" s="13" t="n"/>
      <c r="F14" s="13" t="n"/>
      <c r="G14" s="13" t="n"/>
    </row>
    <row r="15">
      <c r="A15" s="12" t="inlineStr">
        <is>
          <t>**偿债能力 (Solvency)**</t>
        </is>
      </c>
      <c r="B15" s="13" t="n"/>
      <c r="C15" s="13" t="n"/>
      <c r="D15" s="13" t="n"/>
      <c r="E15" s="13" t="n"/>
      <c r="F15" s="13" t="n"/>
      <c r="G15" s="13" t="n"/>
    </row>
    <row r="16">
      <c r="A16" s="12" t="inlineStr">
        <is>
          <t>资产负债率 (推算)</t>
        </is>
      </c>
      <c r="B16" s="13" t="n"/>
      <c r="C16" s="13" t="n"/>
      <c r="D16" s="13" t="n"/>
      <c r="E16" s="13" t="n"/>
      <c r="F16" s="13" t="n"/>
      <c r="G16" s="13" t="n"/>
    </row>
    <row r="17">
      <c r="A17" s="6" t="inlineStr">
        <is>
          <t>现金 / 股东权益 (%)</t>
        </is>
      </c>
      <c r="B17" s="7" t="inlineStr">
        <is>
          <t>87.50</t>
        </is>
      </c>
      <c r="C17" s="7" t="inlineStr">
        <is>
          <t>179.10</t>
        </is>
      </c>
      <c r="D17" s="7" t="inlineStr">
        <is>
          <t>107.50</t>
        </is>
      </c>
      <c r="E17" s="7" t="inlineStr">
        <is>
          <t>—</t>
        </is>
      </c>
      <c r="F17" s="5" t="inlineStr">
        <is>
          <t>现金 (含受限) / 股东权益</t>
        </is>
      </c>
      <c r="G17" s="5" t="inlineStr">
        <is>
          <t>计算</t>
        </is>
      </c>
    </row>
    <row r="18">
      <c r="A18" s="12" t="inlineStr">
        <is>
          <t>净负债 (估)</t>
        </is>
      </c>
      <c r="B18" s="13" t="n"/>
      <c r="C18" s="13" t="n"/>
      <c r="D18" s="13" t="n"/>
      <c r="E18" s="13" t="n"/>
      <c r="F18" s="13" t="n"/>
      <c r="G18" s="13" t="n"/>
    </row>
    <row r="19">
      <c r="A19" s="12" t="inlineStr">
        <is>
          <t>**回报率 (Return)**</t>
        </is>
      </c>
      <c r="B19" s="13" t="n"/>
      <c r="C19" s="13" t="n"/>
      <c r="D19" s="13" t="n"/>
      <c r="E19" s="13" t="n"/>
      <c r="F19" s="13" t="n"/>
      <c r="G19" s="13" t="n"/>
    </row>
    <row r="20">
      <c r="A20" s="6" t="inlineStr">
        <is>
          <t>ROE (推算, 期末权益, %)</t>
        </is>
      </c>
      <c r="B20" s="4" t="inlineStr">
        <is>
          <t>—</t>
        </is>
      </c>
      <c r="C20" s="4" t="inlineStr">
        <is>
          <t>—</t>
        </is>
      </c>
      <c r="D20" s="4" t="inlineStr">
        <is>
          <t>16.00</t>
        </is>
      </c>
      <c r="E20" s="4" t="inlineStr">
        <is>
          <t>—</t>
        </is>
      </c>
      <c r="F20" s="5" t="inlineStr">
        <is>
          <t>净利润 / 股东权益 (期末)</t>
        </is>
      </c>
      <c r="G20" s="5" t="inlineStr">
        <is>
          <t>推算</t>
        </is>
      </c>
    </row>
    <row r="21">
      <c r="A21" s="6" t="inlineStr">
        <is>
          <t>ROA (推算, %)</t>
        </is>
      </c>
      <c r="B21" s="7" t="inlineStr">
        <is>
          <t>—</t>
        </is>
      </c>
      <c r="C21" s="7" t="inlineStr">
        <is>
          <t>—</t>
        </is>
      </c>
      <c r="D21" s="7" t="inlineStr">
        <is>
          <t>10.20</t>
        </is>
      </c>
      <c r="E21" s="7" t="inlineStr">
        <is>
          <t>—</t>
        </is>
      </c>
      <c r="F21" s="5" t="inlineStr">
        <is>
          <t>净利润 / 总资产 (期末)</t>
        </is>
      </c>
      <c r="G21" s="5" t="inlineStr">
        <is>
          <t>推算</t>
        </is>
      </c>
    </row>
    <row r="22">
      <c r="A22" s="12" t="inlineStr">
        <is>
          <t>**现金流质量 (Cash Quality)**</t>
        </is>
      </c>
      <c r="B22" s="13" t="n"/>
      <c r="C22" s="13" t="n"/>
      <c r="D22" s="13" t="n"/>
      <c r="E22" s="13" t="n"/>
      <c r="F22" s="13" t="n"/>
      <c r="G22" s="13" t="n"/>
    </row>
    <row r="23">
      <c r="A23" s="6" t="inlineStr">
        <is>
          <t>OCF / 净利润 (Q1 26, 估)</t>
        </is>
      </c>
      <c r="B23" s="7" t="inlineStr">
        <is>
          <t>—</t>
        </is>
      </c>
      <c r="C23" s="7" t="inlineStr">
        <is>
          <t>—</t>
        </is>
      </c>
      <c r="D23" s="7" t="inlineStr">
        <is>
          <t>—</t>
        </is>
      </c>
      <c r="E23" s="7" t="inlineStr">
        <is>
          <t>-1.25</t>
        </is>
      </c>
      <c r="F23" s="5" t="inlineStr">
        <is>
          <t>经营现金流 / 净利润</t>
        </is>
      </c>
      <c r="G23" s="5" t="inlineStr">
        <is>
          <t>推算</t>
        </is>
      </c>
    </row>
    <row r="24">
      <c r="A24" s="6" t="inlineStr">
        <is>
          <t>自由现金流 (¥M, Q1 26 估)</t>
        </is>
      </c>
      <c r="B24" s="4" t="inlineStr">
        <is>
          <t>—</t>
        </is>
      </c>
      <c r="C24" s="4" t="inlineStr">
        <is>
          <t>—</t>
        </is>
      </c>
      <c r="D24" s="4" t="inlineStr">
        <is>
          <t>—</t>
        </is>
      </c>
      <c r="E24" s="4" t="n">
        <v>-650</v>
      </c>
      <c r="F24" s="5" t="inlineStr">
        <is>
          <t>OCF - CapEx (估)</t>
        </is>
      </c>
      <c r="G24" s="5" t="inlineStr">
        <is>
          <t>推算</t>
        </is>
      </c>
    </row>
    <row r="26">
      <c r="A26" s="5" t="inlineStr">
        <is>
          <t>role01 collector 计算, 不解读. 标注 '推算' = 基于披露数据公式; 标注 '未披露' = 公司不单独披露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30" customWidth="1" min="9" max="9"/>
  </cols>
  <sheetData>
    <row r="1">
      <c r="A1" s="1" t="inlineStr">
        <is>
          <t>指标</t>
        </is>
      </c>
      <c r="B1" s="1" t="inlineStr">
        <is>
          <t>Q1 25</t>
        </is>
      </c>
      <c r="C1" s="1" t="inlineStr">
        <is>
          <t>Q2 25</t>
        </is>
      </c>
      <c r="D1" s="1" t="inlineStr">
        <is>
          <t>Q3 25</t>
        </is>
      </c>
      <c r="E1" s="1" t="inlineStr">
        <is>
          <t>Q4 25</t>
        </is>
      </c>
      <c r="F1" s="1" t="inlineStr">
        <is>
          <t>Q1 26</t>
        </is>
      </c>
      <c r="G1" s="1" t="inlineStr">
        <is>
          <t>QoQ Q4→Q1</t>
        </is>
      </c>
      <c r="H1" s="1" t="inlineStr">
        <is>
          <t>YoY Q1</t>
        </is>
      </c>
      <c r="I1" s="1" t="inlineStr">
        <is>
          <t>source</t>
        </is>
      </c>
    </row>
    <row r="2">
      <c r="A2" s="12" t="inlineStr">
        <is>
          <t>门店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</row>
    <row r="3">
      <c r="A3" s="6" t="inlineStr">
        <is>
          <t>门店总数</t>
        </is>
      </c>
      <c r="B3" s="7" t="inlineStr">
        <is>
          <t>6,681</t>
        </is>
      </c>
      <c r="C3" s="7" t="inlineStr">
        <is>
          <t>7,038</t>
        </is>
      </c>
      <c r="D3" s="7" t="inlineStr">
        <is>
          <t>7,338</t>
        </is>
      </c>
      <c r="E3" s="7" t="inlineStr">
        <is>
          <t>7,453</t>
        </is>
      </c>
      <c r="F3" s="7" t="inlineStr">
        <is>
          <t>7,531</t>
        </is>
      </c>
      <c r="G3" s="7" t="inlineStr">
        <is>
          <t>1.0%</t>
        </is>
      </c>
      <c r="H3" s="7" t="inlineStr">
        <is>
          <t>12.7%</t>
        </is>
      </c>
      <c r="I3" s="5" t="inlineStr">
        <is>
          <t>6-K Q1 26 + 招股书</t>
        </is>
      </c>
    </row>
    <row r="4">
      <c r="A4" s="6" t="inlineStr">
        <is>
          <t>— 加盟</t>
        </is>
      </c>
      <c r="B4" s="4" t="inlineStr">
        <is>
          <t>6,490</t>
        </is>
      </c>
      <c r="C4" s="4" t="inlineStr">
        <is>
          <t>6,799</t>
        </is>
      </c>
      <c r="D4" s="4" t="inlineStr">
        <is>
          <t>6,971</t>
        </is>
      </c>
      <c r="E4" s="4" t="inlineStr">
        <is>
          <t>6,838</t>
        </is>
      </c>
      <c r="F4" s="4" t="inlineStr">
        <is>
          <t>6,741</t>
        </is>
      </c>
      <c r="G4" s="8" t="inlineStr">
        <is>
          <t>-1.4%</t>
        </is>
      </c>
      <c r="H4" s="4" t="inlineStr">
        <is>
          <t>3.9%</t>
        </is>
      </c>
      <c r="I4" s="5" t="inlineStr">
        <is>
          <t>6-K Q1 26</t>
        </is>
      </c>
    </row>
    <row r="5">
      <c r="A5" s="6" t="inlineStr">
        <is>
          <t>— 自营</t>
        </is>
      </c>
      <c r="B5" s="7" t="inlineStr">
        <is>
          <t>191</t>
        </is>
      </c>
      <c r="C5" s="7" t="inlineStr">
        <is>
          <t>239</t>
        </is>
      </c>
      <c r="D5" s="7" t="inlineStr">
        <is>
          <t>367</t>
        </is>
      </c>
      <c r="E5" s="7" t="inlineStr">
        <is>
          <t>615</t>
        </is>
      </c>
      <c r="F5" s="7" t="inlineStr">
        <is>
          <t>790</t>
        </is>
      </c>
      <c r="G5" s="7" t="inlineStr">
        <is>
          <t>28.5%</t>
        </is>
      </c>
      <c r="H5" s="7" t="inlineStr">
        <is>
          <t>313.6%</t>
        </is>
      </c>
      <c r="I5" s="5" t="inlineStr">
        <is>
          <t>6-K Q1 26</t>
        </is>
      </c>
    </row>
    <row r="6">
      <c r="A6" s="6" t="inlineStr">
        <is>
          <t>— 大陆</t>
        </is>
      </c>
      <c r="B6" s="4" t="inlineStr">
        <is>
          <t>6,362</t>
        </is>
      </c>
      <c r="C6" s="4" t="inlineStr">
        <is>
          <t>6,666</t>
        </is>
      </c>
      <c r="D6" s="4" t="inlineStr">
        <is>
          <t>6,836</t>
        </is>
      </c>
      <c r="E6" s="4" t="inlineStr">
        <is>
          <t>6,700</t>
        </is>
      </c>
      <c r="F6" s="4" t="inlineStr">
        <is>
          <t>6,603</t>
        </is>
      </c>
      <c r="G6" s="8" t="inlineStr">
        <is>
          <t>-1.4%</t>
        </is>
      </c>
      <c r="H6" s="4" t="inlineStr">
        <is>
          <t>3.8%</t>
        </is>
      </c>
      <c r="I6" s="5" t="inlineStr">
        <is>
          <t>6-K Q1 26</t>
        </is>
      </c>
    </row>
    <row r="7">
      <c r="A7" s="6" t="inlineStr">
        <is>
          <t>— 海外</t>
        </is>
      </c>
      <c r="B7" s="7" t="inlineStr">
        <is>
          <t>128</t>
        </is>
      </c>
      <c r="C7" s="7" t="inlineStr">
        <is>
          <t>133</t>
        </is>
      </c>
      <c r="D7" s="7" t="inlineStr">
        <is>
          <t>135</t>
        </is>
      </c>
      <c r="E7" s="7" t="inlineStr">
        <is>
          <t>138</t>
        </is>
      </c>
      <c r="F7" s="7" t="inlineStr">
        <is>
          <t>138</t>
        </is>
      </c>
      <c r="G7" s="7" t="inlineStr">
        <is>
          <t>0.0%</t>
        </is>
      </c>
      <c r="H7" s="7" t="inlineStr">
        <is>
          <t>7.8%</t>
        </is>
      </c>
      <c r="I7" s="5" t="inlineStr">
        <is>
          <t>6-K Q1 26</t>
        </is>
      </c>
    </row>
    <row r="8">
      <c r="A8" s="12" t="inlineStr">
        <is>
          <t>GMV (¥M)</t>
        </is>
      </c>
      <c r="B8" s="13" t="n"/>
      <c r="C8" s="13" t="n"/>
      <c r="D8" s="13" t="n"/>
      <c r="E8" s="13" t="n"/>
      <c r="F8" s="13" t="n"/>
      <c r="G8" s="13" t="n"/>
      <c r="H8" s="13" t="n"/>
      <c r="I8" s="13" t="n"/>
    </row>
    <row r="9">
      <c r="A9" s="6" t="inlineStr">
        <is>
          <t>大陆 GMV</t>
        </is>
      </c>
      <c r="B9" s="7" t="inlineStr">
        <is>
          <t>8,048.4</t>
        </is>
      </c>
      <c r="C9" s="7" t="inlineStr">
        <is>
          <t>—</t>
        </is>
      </c>
      <c r="D9" s="7" t="inlineStr">
        <is>
          <t>—</t>
        </is>
      </c>
      <c r="E9" s="7" t="inlineStr">
        <is>
          <t>—</t>
        </is>
      </c>
      <c r="F9" s="7" t="inlineStr">
        <is>
          <t>7,491.4</t>
        </is>
      </c>
      <c r="G9" s="7" t="inlineStr">
        <is>
          <t>—</t>
        </is>
      </c>
      <c r="H9" s="9" t="inlineStr">
        <is>
          <t>-6.9%</t>
        </is>
      </c>
      <c r="I9" s="5" t="inlineStr">
        <is>
          <t>6-K Q1 26 (只披露 Q1 25 vs Q1 26)</t>
        </is>
      </c>
    </row>
    <row r="10">
      <c r="A10" s="6" t="inlineStr">
        <is>
          <t>海外 GMV</t>
        </is>
      </c>
      <c r="B10" s="4" t="inlineStr">
        <is>
          <t>178.0</t>
        </is>
      </c>
      <c r="C10" s="4" t="inlineStr">
        <is>
          <t>—</t>
        </is>
      </c>
      <c r="D10" s="4" t="inlineStr">
        <is>
          <t>—</t>
        </is>
      </c>
      <c r="E10" s="4" t="inlineStr">
        <is>
          <t>—</t>
        </is>
      </c>
      <c r="F10" s="4" t="inlineStr">
        <is>
          <t>426.4</t>
        </is>
      </c>
      <c r="G10" s="4" t="inlineStr">
        <is>
          <t>—</t>
        </is>
      </c>
      <c r="H10" s="4" t="inlineStr">
        <is>
          <t>139.6%</t>
        </is>
      </c>
      <c r="I10" s="5" t="inlineStr">
        <is>
          <t>6-K Q1 26</t>
        </is>
      </c>
    </row>
    <row r="11">
      <c r="A11" s="6" t="inlineStr">
        <is>
          <t>总 GMV</t>
        </is>
      </c>
      <c r="B11" s="7" t="inlineStr">
        <is>
          <t>8,226.4</t>
        </is>
      </c>
      <c r="C11" s="7" t="inlineStr">
        <is>
          <t>—</t>
        </is>
      </c>
      <c r="D11" s="7" t="inlineStr">
        <is>
          <t>—</t>
        </is>
      </c>
      <c r="E11" s="7" t="inlineStr">
        <is>
          <t>—</t>
        </is>
      </c>
      <c r="F11" s="7" t="inlineStr">
        <is>
          <t>7,917.8</t>
        </is>
      </c>
      <c r="G11" s="7" t="inlineStr">
        <is>
          <t>—</t>
        </is>
      </c>
      <c r="H11" s="9" t="inlineStr">
        <is>
          <t>-3.7%</t>
        </is>
      </c>
      <c r="I11" s="5" t="inlineStr">
        <is>
          <t>6-K Q1 26</t>
        </is>
      </c>
    </row>
    <row r="12">
      <c r="A12" s="12" t="inlineStr">
        <is>
          <t>单店 GMV (大陆, ¥)</t>
        </is>
      </c>
      <c r="B12" s="13" t="n"/>
      <c r="C12" s="13" t="n"/>
      <c r="D12" s="13" t="n"/>
      <c r="E12" s="13" t="n"/>
      <c r="F12" s="13" t="n"/>
      <c r="G12" s="13" t="n"/>
      <c r="H12" s="13" t="n"/>
      <c r="I12" s="13" t="n"/>
    </row>
    <row r="13">
      <c r="A13" s="6" t="inlineStr">
        <is>
          <t>月均单店 GMV (大陆)</t>
        </is>
      </c>
      <c r="B13" s="7" t="inlineStr">
        <is>
          <t>—</t>
        </is>
      </c>
      <c r="C13" s="7" t="inlineStr">
        <is>
          <t>—</t>
        </is>
      </c>
      <c r="D13" s="7" t="inlineStr">
        <is>
          <t>—</t>
        </is>
      </c>
      <c r="E13" s="7" t="inlineStr">
        <is>
          <t>337,358</t>
        </is>
      </c>
      <c r="F13" s="7" t="inlineStr">
        <is>
          <t>356,080</t>
        </is>
      </c>
      <c r="G13" s="7" t="inlineStr">
        <is>
          <t>5.5%</t>
        </is>
      </c>
      <c r="H13" s="7" t="inlineStr">
        <is>
          <t>—</t>
        </is>
      </c>
      <c r="I13" s="5" t="inlineStr">
        <is>
          <t>6-K Q1 26</t>
        </is>
      </c>
    </row>
    <row r="14">
      <c r="A14" s="12" t="inlineStr">
        <is>
          <t>营收 (¥M)</t>
        </is>
      </c>
      <c r="B14" s="13" t="n"/>
      <c r="C14" s="13" t="n"/>
      <c r="D14" s="13" t="n"/>
      <c r="E14" s="13" t="n"/>
      <c r="F14" s="13" t="n"/>
      <c r="G14" s="13" t="n"/>
      <c r="H14" s="13" t="n"/>
      <c r="I14" s="13" t="n"/>
    </row>
    <row r="15">
      <c r="A15" s="6" t="inlineStr">
        <is>
          <t>营收</t>
        </is>
      </c>
      <c r="B15" s="7" t="inlineStr">
        <is>
          <t>3,392.7</t>
        </is>
      </c>
      <c r="C15" s="7" t="inlineStr">
        <is>
          <t>—</t>
        </is>
      </c>
      <c r="D15" s="7" t="inlineStr">
        <is>
          <t>—</t>
        </is>
      </c>
      <c r="E15" s="7" t="inlineStr">
        <is>
          <t>—</t>
        </is>
      </c>
      <c r="F15" s="7" t="inlineStr">
        <is>
          <t>3,546.0</t>
        </is>
      </c>
      <c r="G15" s="7" t="inlineStr">
        <is>
          <t>—</t>
        </is>
      </c>
      <c r="H15" s="7" t="inlineStr">
        <is>
          <t>4.5%</t>
        </is>
      </c>
      <c r="I15" s="5" t="inlineStr">
        <is>
          <t>6-K Q1 26</t>
        </is>
      </c>
    </row>
    <row r="16">
      <c r="A16" s="6" t="inlineStr">
        <is>
          <t>— 加盟营收</t>
        </is>
      </c>
      <c r="B16" s="4" t="inlineStr">
        <is>
          <t>3,149.9</t>
        </is>
      </c>
      <c r="C16" s="4" t="inlineStr">
        <is>
          <t>—</t>
        </is>
      </c>
      <c r="D16" s="4" t="inlineStr">
        <is>
          <t>—</t>
        </is>
      </c>
      <c r="E16" s="4" t="inlineStr">
        <is>
          <t>—</t>
        </is>
      </c>
      <c r="F16" s="4" t="inlineStr">
        <is>
          <t>2,743.9</t>
        </is>
      </c>
      <c r="G16" s="4" t="inlineStr">
        <is>
          <t>—</t>
        </is>
      </c>
      <c r="H16" s="8" t="inlineStr">
        <is>
          <t>-12.9%</t>
        </is>
      </c>
      <c r="I16" s="5" t="inlineStr">
        <is>
          <t>6-K Q1 26</t>
        </is>
      </c>
    </row>
    <row r="17">
      <c r="A17" s="6" t="inlineStr">
        <is>
          <t>— 自营营收</t>
        </is>
      </c>
      <c r="B17" s="7" t="inlineStr">
        <is>
          <t>242.8</t>
        </is>
      </c>
      <c r="C17" s="7" t="inlineStr">
        <is>
          <t>—</t>
        </is>
      </c>
      <c r="D17" s="7" t="inlineStr">
        <is>
          <t>—</t>
        </is>
      </c>
      <c r="E17" s="7" t="inlineStr">
        <is>
          <t>—</t>
        </is>
      </c>
      <c r="F17" s="7" t="inlineStr">
        <is>
          <t>802.1</t>
        </is>
      </c>
      <c r="G17" s="7" t="inlineStr">
        <is>
          <t>—</t>
        </is>
      </c>
      <c r="H17" s="7" t="inlineStr">
        <is>
          <t>230.4%</t>
        </is>
      </c>
      <c r="I17" s="5" t="inlineStr">
        <is>
          <t>6-K Q1 26</t>
        </is>
      </c>
    </row>
    <row r="18">
      <c r="A18" s="12" t="inlineStr">
        <is>
          <t>利润 (¥M)</t>
        </is>
      </c>
      <c r="B18" s="13" t="n"/>
      <c r="C18" s="13" t="n"/>
      <c r="D18" s="13" t="n"/>
      <c r="E18" s="13" t="n"/>
      <c r="F18" s="13" t="n"/>
      <c r="G18" s="13" t="n"/>
      <c r="H18" s="13" t="n"/>
      <c r="I18" s="13" t="n"/>
    </row>
    <row r="19">
      <c r="A19" s="6" t="inlineStr">
        <is>
          <t>营业利润</t>
        </is>
      </c>
      <c r="B19" s="7" t="inlineStr">
        <is>
          <t>820.8</t>
        </is>
      </c>
      <c r="C19" s="7" t="inlineStr">
        <is>
          <t>—</t>
        </is>
      </c>
      <c r="D19" s="7" t="inlineStr">
        <is>
          <t>—</t>
        </is>
      </c>
      <c r="E19" s="7" t="inlineStr">
        <is>
          <t>—</t>
        </is>
      </c>
      <c r="F19" s="7" t="inlineStr">
        <is>
          <t>547.2</t>
        </is>
      </c>
      <c r="G19" s="7" t="inlineStr">
        <is>
          <t>—</t>
        </is>
      </c>
      <c r="H19" s="9" t="inlineStr">
        <is>
          <t>-33.3%</t>
        </is>
      </c>
      <c r="I19" s="5" t="inlineStr">
        <is>
          <t>6-K Q1 26</t>
        </is>
      </c>
    </row>
    <row r="20">
      <c r="A20" s="6" t="inlineStr">
        <is>
          <t>GAAP 净利</t>
        </is>
      </c>
      <c r="B20" s="4" t="inlineStr">
        <is>
          <t>677.3</t>
        </is>
      </c>
      <c r="C20" s="4" t="inlineStr">
        <is>
          <t>—</t>
        </is>
      </c>
      <c r="D20" s="4" t="inlineStr">
        <is>
          <t>—</t>
        </is>
      </c>
      <c r="E20" s="4" t="inlineStr">
        <is>
          <t>—</t>
        </is>
      </c>
      <c r="F20" s="4" t="inlineStr">
        <is>
          <t>447.7</t>
        </is>
      </c>
      <c r="G20" s="4" t="inlineStr">
        <is>
          <t>—</t>
        </is>
      </c>
      <c r="H20" s="8" t="inlineStr">
        <is>
          <t>-33.9%</t>
        </is>
      </c>
      <c r="I20" s="5" t="inlineStr">
        <is>
          <t>6-K Q1 26</t>
        </is>
      </c>
    </row>
    <row r="21">
      <c r="A21" s="6" t="inlineStr">
        <is>
          <t>Non-GAAP 净利</t>
        </is>
      </c>
      <c r="B21" s="7" t="inlineStr">
        <is>
          <t>677.3</t>
        </is>
      </c>
      <c r="C21" s="7" t="inlineStr">
        <is>
          <t>—</t>
        </is>
      </c>
      <c r="D21" s="7" t="inlineStr">
        <is>
          <t>—</t>
        </is>
      </c>
      <c r="E21" s="7" t="inlineStr">
        <is>
          <t>—</t>
        </is>
      </c>
      <c r="F21" s="7" t="inlineStr">
        <is>
          <t>506.7</t>
        </is>
      </c>
      <c r="G21" s="7" t="inlineStr">
        <is>
          <t>—</t>
        </is>
      </c>
      <c r="H21" s="9" t="inlineStr">
        <is>
          <t>-25.2%</t>
        </is>
      </c>
      <c r="I21" s="5" t="inlineStr">
        <is>
          <t>6-K Q1 26</t>
        </is>
      </c>
    </row>
    <row r="22">
      <c r="A22" s="12" t="inlineStr">
        <is>
          <t>利润率 (%)</t>
        </is>
      </c>
      <c r="B22" s="13" t="n"/>
      <c r="C22" s="13" t="n"/>
      <c r="D22" s="13" t="n"/>
      <c r="E22" s="13" t="n"/>
      <c r="F22" s="13" t="n"/>
      <c r="G22" s="13" t="n"/>
      <c r="H22" s="13" t="n"/>
      <c r="I22" s="13" t="n"/>
    </row>
    <row r="23">
      <c r="A23" s="6" t="inlineStr">
        <is>
          <t>净利率</t>
        </is>
      </c>
      <c r="B23" s="7" t="inlineStr">
        <is>
          <t>20.0</t>
        </is>
      </c>
      <c r="C23" s="7" t="inlineStr">
        <is>
          <t>—</t>
        </is>
      </c>
      <c r="D23" s="7" t="inlineStr">
        <is>
          <t>—</t>
        </is>
      </c>
      <c r="E23" s="7" t="inlineStr">
        <is>
          <t>—</t>
        </is>
      </c>
      <c r="F23" s="7" t="inlineStr">
        <is>
          <t>12.6</t>
        </is>
      </c>
      <c r="G23" s="7" t="inlineStr">
        <is>
          <t>—</t>
        </is>
      </c>
      <c r="H23" s="9" t="inlineStr">
        <is>
          <t>-7.4%</t>
        </is>
      </c>
      <c r="I23" s="5" t="inlineStr">
        <is>
          <t>6-K Q1 26</t>
        </is>
      </c>
    </row>
    <row r="24">
      <c r="A24" s="6" t="inlineStr">
        <is>
          <t>Non-GAAP 净利率</t>
        </is>
      </c>
      <c r="B24" s="4" t="inlineStr">
        <is>
          <t>20.0</t>
        </is>
      </c>
      <c r="C24" s="4" t="inlineStr">
        <is>
          <t>—</t>
        </is>
      </c>
      <c r="D24" s="4" t="inlineStr">
        <is>
          <t>—</t>
        </is>
      </c>
      <c r="E24" s="4" t="inlineStr">
        <is>
          <t>—</t>
        </is>
      </c>
      <c r="F24" s="4" t="inlineStr">
        <is>
          <t>14.3</t>
        </is>
      </c>
      <c r="G24" s="4" t="inlineStr">
        <is>
          <t>—</t>
        </is>
      </c>
      <c r="H24" s="8" t="inlineStr">
        <is>
          <t>-5.7%</t>
        </is>
      </c>
      <c r="I24" s="5" t="inlineStr">
        <is>
          <t>6-K Q1 26</t>
        </is>
      </c>
    </row>
    <row r="25">
      <c r="A25" s="12" t="inlineStr">
        <is>
          <t>用户</t>
        </is>
      </c>
      <c r="B25" s="13" t="n"/>
      <c r="C25" s="13" t="n"/>
      <c r="D25" s="13" t="n"/>
      <c r="E25" s="13" t="n"/>
      <c r="F25" s="13" t="n"/>
      <c r="G25" s="13" t="n"/>
      <c r="H25" s="13" t="n"/>
      <c r="I25" s="13" t="n"/>
    </row>
    <row r="26">
      <c r="A26" s="6" t="inlineStr">
        <is>
          <t>活跃会员 (M)</t>
        </is>
      </c>
      <c r="B26" s="4" t="inlineStr">
        <is>
          <t>—</t>
        </is>
      </c>
      <c r="C26" s="4" t="inlineStr">
        <is>
          <t>—</t>
        </is>
      </c>
      <c r="D26" s="4" t="inlineStr">
        <is>
          <t>—</t>
        </is>
      </c>
      <c r="E26" s="4" t="inlineStr">
        <is>
          <t>44.8</t>
        </is>
      </c>
      <c r="F26" s="4" t="inlineStr">
        <is>
          <t>50.0</t>
        </is>
      </c>
      <c r="G26" s="4" t="inlineStr">
        <is>
          <t>11.7%</t>
        </is>
      </c>
      <c r="H26" s="4" t="inlineStr">
        <is>
          <t>—</t>
        </is>
      </c>
      <c r="I26" s="5" t="inlineStr">
        <is>
          <t>6-K Q1 26</t>
        </is>
      </c>
    </row>
    <row r="28">
      <c r="A28" s="11" t="inlineStr">
        <is>
          <t>数据源: 6-K Q1 2026 (accession 0001104659-26-067770). Q2-Q3-Q4 25 详细业绩公司未单独披露 6-K, 待抓</t>
        </is>
      </c>
    </row>
  </sheetData>
  <hyperlinks>
    <hyperlink xmlns:r="http://schemas.openxmlformats.org/officeDocument/2006/relationships" ref="A28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8" customWidth="1" min="5" max="5"/>
    <col width="18" customWidth="1" min="6" max="6"/>
    <col width="28" customWidth="1" min="7" max="7"/>
  </cols>
  <sheetData>
    <row r="1">
      <c r="A1" s="1" t="inlineStr">
        <is>
          <t>分拆维度</t>
        </is>
      </c>
      <c r="B1" s="1" t="inlineStr">
        <is>
          <t>Q1 25</t>
        </is>
      </c>
      <c r="C1" s="1" t="inlineStr">
        <is>
          <t>Q1 26</t>
        </is>
      </c>
      <c r="D1" s="1" t="inlineStr">
        <is>
          <t>YoY</t>
        </is>
      </c>
      <c r="E1" s="1" t="inlineStr">
        <is>
          <t>占比变化</t>
        </is>
      </c>
      <c r="F1" s="1" t="inlineStr">
        <is>
          <t>source</t>
        </is>
      </c>
    </row>
    <row r="2">
      <c r="A2" s="12" t="inlineStr">
        <is>
          <t>按渠道 (加盟 vs 自营)</t>
        </is>
      </c>
      <c r="B2" s="13" t="n"/>
      <c r="C2" s="13" t="n"/>
      <c r="D2" s="13" t="n"/>
      <c r="E2" s="13" t="n"/>
      <c r="F2" s="13" t="n"/>
    </row>
    <row r="3">
      <c r="A3" s="6" t="inlineStr">
        <is>
          <t>加盟门店数</t>
        </is>
      </c>
      <c r="B3" s="7" t="inlineStr">
        <is>
          <t>6,490</t>
        </is>
      </c>
      <c r="C3" s="7" t="inlineStr">
        <is>
          <t>6,741</t>
        </is>
      </c>
      <c r="D3" s="7" t="inlineStr">
        <is>
          <t>3.90</t>
        </is>
      </c>
      <c r="E3" s="7" t="inlineStr">
        <is>
          <t>3.9%</t>
        </is>
      </c>
      <c r="F3" s="5" t="inlineStr">
        <is>
          <t>89.5% 末</t>
        </is>
      </c>
      <c r="G3" s="5" t="inlineStr">
        <is>
          <t>6-K Q1 26</t>
        </is>
      </c>
    </row>
    <row r="4">
      <c r="A4" s="6" t="inlineStr">
        <is>
          <t>自营门店数</t>
        </is>
      </c>
      <c r="B4" s="4" t="inlineStr">
        <is>
          <t>191</t>
        </is>
      </c>
      <c r="C4" s="4" t="inlineStr">
        <is>
          <t>790</t>
        </is>
      </c>
      <c r="D4" s="4" t="inlineStr">
        <is>
          <t>314</t>
        </is>
      </c>
      <c r="E4" s="4" t="inlineStr">
        <is>
          <t>313.6%</t>
        </is>
      </c>
      <c r="F4" s="5" t="inlineStr">
        <is>
          <t>10.5% 末</t>
        </is>
      </c>
      <c r="G4" s="5" t="inlineStr">
        <is>
          <t>6-K Q1 26</t>
        </is>
      </c>
    </row>
    <row r="5">
      <c r="A5" s="6" t="inlineStr">
        <is>
          <t>加盟营收 (¥M)</t>
        </is>
      </c>
      <c r="B5" s="7" t="inlineStr">
        <is>
          <t>3,150</t>
        </is>
      </c>
      <c r="C5" s="7" t="inlineStr">
        <is>
          <t>2,744</t>
        </is>
      </c>
      <c r="D5" s="7" t="inlineStr">
        <is>
          <t>-12.90</t>
        </is>
      </c>
      <c r="E5" s="7" t="inlineStr">
        <is>
          <t>-12.9%</t>
        </is>
      </c>
      <c r="F5" s="5" t="inlineStr">
        <is>
          <t>92.8% → 77.4%</t>
        </is>
      </c>
      <c r="G5" s="5" t="inlineStr">
        <is>
          <t>6-K Q1 26</t>
        </is>
      </c>
    </row>
    <row r="6">
      <c r="A6" s="6" t="inlineStr">
        <is>
          <t>自营营收 (¥M)</t>
        </is>
      </c>
      <c r="B6" s="4" t="inlineStr">
        <is>
          <t>243</t>
        </is>
      </c>
      <c r="C6" s="4" t="inlineStr">
        <is>
          <t>802</t>
        </is>
      </c>
      <c r="D6" s="4" t="inlineStr">
        <is>
          <t>230</t>
        </is>
      </c>
      <c r="E6" s="4" t="inlineStr">
        <is>
          <t>230.4%</t>
        </is>
      </c>
      <c r="F6" s="5" t="inlineStr">
        <is>
          <t>7.2% → 22.6%</t>
        </is>
      </c>
      <c r="G6" s="5" t="inlineStr">
        <is>
          <t>6-K Q1 26</t>
        </is>
      </c>
    </row>
    <row r="7">
      <c r="A7" s="6" t="inlineStr">
        <is>
          <t>自营 Opex (¥M)</t>
        </is>
      </c>
      <c r="B7" s="7" t="inlineStr">
        <is>
          <t>157</t>
        </is>
      </c>
      <c r="C7" s="7" t="inlineStr">
        <is>
          <t>497</t>
        </is>
      </c>
      <c r="D7" s="7" t="inlineStr">
        <is>
          <t>217</t>
        </is>
      </c>
      <c r="E7" s="7" t="inlineStr">
        <is>
          <t>216.7%</t>
        </is>
      </c>
      <c r="F7" s="5" t="inlineStr">
        <is>
          <t>4.6% → 14.0%</t>
        </is>
      </c>
      <c r="G7" s="5" t="inlineStr">
        <is>
          <t>6-K Q1 26</t>
        </is>
      </c>
    </row>
    <row r="8">
      <c r="A8" s="6" t="inlineStr">
        <is>
          <t>自营单店月均营收 (¥M, 估)</t>
        </is>
      </c>
      <c r="B8" s="4" t="inlineStr">
        <is>
          <t>1.27</t>
        </is>
      </c>
      <c r="C8" s="4" t="inlineStr">
        <is>
          <t>1.02</t>
        </is>
      </c>
      <c r="D8" s="4" t="inlineStr">
        <is>
          <t>-19.70</t>
        </is>
      </c>
      <c r="E8" s="4" t="inlineStr">
        <is>
          <t>-19.7%</t>
        </is>
      </c>
      <c r="F8" s="5" t="inlineStr">
        <is>
          <t>—</t>
        </is>
      </c>
      <c r="G8" s="5" t="inlineStr">
        <is>
          <t>推算: 自营营收/自营门店/月数</t>
        </is>
      </c>
    </row>
    <row r="9">
      <c r="A9" s="12" t="inlineStr">
        <is>
          <t>按地区 (大陆 vs 海外)</t>
        </is>
      </c>
      <c r="B9" s="13" t="n"/>
      <c r="C9" s="13" t="n"/>
      <c r="D9" s="13" t="n"/>
      <c r="E9" s="13" t="n"/>
      <c r="F9" s="13" t="n"/>
    </row>
    <row r="10">
      <c r="A10" s="6" t="inlineStr">
        <is>
          <t>大陆门店数</t>
        </is>
      </c>
      <c r="B10" s="4" t="inlineStr">
        <is>
          <t>6,362</t>
        </is>
      </c>
      <c r="C10" s="4" t="inlineStr">
        <is>
          <t>6,603</t>
        </is>
      </c>
      <c r="D10" s="4" t="inlineStr">
        <is>
          <t>3.80</t>
        </is>
      </c>
      <c r="E10" s="4" t="inlineStr">
        <is>
          <t>3.8%</t>
        </is>
      </c>
      <c r="F10" s="5" t="inlineStr">
        <is>
          <t>87.7% 末</t>
        </is>
      </c>
      <c r="G10" s="5" t="inlineStr">
        <is>
          <t>6-K Q1 26</t>
        </is>
      </c>
    </row>
    <row r="11">
      <c r="A11" s="6" t="inlineStr">
        <is>
          <t>海外门店数</t>
        </is>
      </c>
      <c r="B11" s="7" t="inlineStr">
        <is>
          <t>128</t>
        </is>
      </c>
      <c r="C11" s="7" t="inlineStr">
        <is>
          <t>138</t>
        </is>
      </c>
      <c r="D11" s="7" t="inlineStr">
        <is>
          <t>7.80</t>
        </is>
      </c>
      <c r="E11" s="7" t="inlineStr">
        <is>
          <t>7.8%</t>
        </is>
      </c>
      <c r="F11" s="5" t="inlineStr">
        <is>
          <t>1.8% 末</t>
        </is>
      </c>
      <c r="G11" s="5" t="inlineStr">
        <is>
          <t>6-K Q1 26</t>
        </is>
      </c>
    </row>
    <row r="12">
      <c r="A12" s="6" t="inlineStr">
        <is>
          <t>大陆 GMV (¥M)</t>
        </is>
      </c>
      <c r="B12" s="4" t="inlineStr">
        <is>
          <t>8,048</t>
        </is>
      </c>
      <c r="C12" s="4" t="inlineStr">
        <is>
          <t>7,491</t>
        </is>
      </c>
      <c r="D12" s="4" t="inlineStr">
        <is>
          <t>-6.90</t>
        </is>
      </c>
      <c r="E12" s="4" t="inlineStr">
        <is>
          <t>-6.9%</t>
        </is>
      </c>
      <c r="F12" s="5" t="inlineStr">
        <is>
          <t>97.8% → 94.6%</t>
        </is>
      </c>
      <c r="G12" s="5" t="inlineStr">
        <is>
          <t>6-K Q1 26</t>
        </is>
      </c>
    </row>
    <row r="13">
      <c r="A13" s="6" t="inlineStr">
        <is>
          <t>海外 GMV (¥M)</t>
        </is>
      </c>
      <c r="B13" s="7" t="inlineStr">
        <is>
          <t>178</t>
        </is>
      </c>
      <c r="C13" s="7" t="inlineStr">
        <is>
          <t>426</t>
        </is>
      </c>
      <c r="D13" s="7" t="inlineStr">
        <is>
          <t>140</t>
        </is>
      </c>
      <c r="E13" s="7" t="inlineStr">
        <is>
          <t>139.6%</t>
        </is>
      </c>
      <c r="F13" s="5" t="inlineStr">
        <is>
          <t>2.2% → 5.4%</t>
        </is>
      </c>
      <c r="G13" s="5" t="inlineStr">
        <is>
          <t>6-K Q1 26</t>
        </is>
      </c>
    </row>
    <row r="14">
      <c r="A14" s="12" t="inlineStr">
        <is>
          <t>按品类 (茶饮 vs 咖啡 vs 烘焙)</t>
        </is>
      </c>
      <c r="B14" s="13" t="n"/>
      <c r="C14" s="13" t="n"/>
      <c r="D14" s="13" t="n"/>
      <c r="E14" s="13" t="n"/>
      <c r="F14" s="13" t="n"/>
    </row>
    <row r="15">
      <c r="A15" s="6" t="inlineStr">
        <is>
          <t>茶饮 (主业)</t>
        </is>
      </c>
      <c r="B15" s="7" t="inlineStr">
        <is>
          <t>—</t>
        </is>
      </c>
      <c r="C15" s="7" t="inlineStr">
        <is>
          <t>—</t>
        </is>
      </c>
      <c r="D15" s="7" t="inlineStr">
        <is>
          <t>—</t>
        </is>
      </c>
      <c r="E15" s="7" t="inlineStr">
        <is>
          <t>—</t>
        </is>
      </c>
      <c r="F15" s="5" t="inlineStr">
        <is>
          <t>未单独披露</t>
        </is>
      </c>
      <c r="G15" s="5" t="inlineStr">
        <is>
          <t>公司未披露分品类</t>
        </is>
      </c>
    </row>
    <row r="16">
      <c r="A16" s="6" t="inlineStr">
        <is>
          <t>咖啡 (战略品类, 估)</t>
        </is>
      </c>
      <c r="B16" s="4" t="inlineStr">
        <is>
          <t>—</t>
        </is>
      </c>
      <c r="C16" s="4" t="inlineStr">
        <is>
          <t>—</t>
        </is>
      </c>
      <c r="D16" s="4" t="inlineStr">
        <is>
          <t>—</t>
        </is>
      </c>
      <c r="E16" s="4" t="inlineStr">
        <is>
          <t>—</t>
        </is>
      </c>
      <c r="F16" s="5" t="inlineStr">
        <is>
          <t>未披露</t>
        </is>
      </c>
      <c r="G16" s="5" t="inlineStr">
        <is>
          <t>古茗示范 (1.2 万店配咖啡机)</t>
        </is>
      </c>
    </row>
    <row r="17">
      <c r="A17" s="6" t="inlineStr">
        <is>
          <t>烘焙</t>
        </is>
      </c>
      <c r="B17" s="7" t="inlineStr">
        <is>
          <t>—</t>
        </is>
      </c>
      <c r="C17" s="7" t="inlineStr">
        <is>
          <t>—</t>
        </is>
      </c>
      <c r="D17" s="7" t="inlineStr">
        <is>
          <t>—</t>
        </is>
      </c>
      <c r="E17" s="7" t="inlineStr">
        <is>
          <t>—</t>
        </is>
      </c>
      <c r="F17" s="5" t="inlineStr">
        <is>
          <t>未披露</t>
        </is>
      </c>
      <c r="G17" s="5" t="inlineStr">
        <is>
          <t>公司未披露</t>
        </is>
      </c>
    </row>
    <row r="18">
      <c r="A18" s="12" t="inlineStr">
        <is>
          <t>按地区 (北美 vs 东南亚)</t>
        </is>
      </c>
      <c r="B18" s="13" t="n"/>
      <c r="C18" s="13" t="n"/>
      <c r="D18" s="13" t="n"/>
      <c r="E18" s="13" t="n"/>
      <c r="F18" s="13" t="n"/>
    </row>
    <row r="19">
      <c r="A19" s="6" t="inlineStr">
        <is>
          <t>马来西亚门店 (估)</t>
        </is>
      </c>
      <c r="B19" s="7" t="inlineStr">
        <is>
          <t>—</t>
        </is>
      </c>
      <c r="C19" s="7" t="inlineStr">
        <is>
          <t>—</t>
        </is>
      </c>
      <c r="D19" s="7" t="inlineStr">
        <is>
          <t>—</t>
        </is>
      </c>
      <c r="E19" s="7" t="inlineStr">
        <is>
          <t>—</t>
        </is>
      </c>
      <c r="F19" s="5" t="inlineStr">
        <is>
          <t>未披露</t>
        </is>
      </c>
      <c r="G19" s="5" t="inlineStr">
        <is>
          <t>招股书风险因素章提到, 但未给具体数</t>
        </is>
      </c>
    </row>
    <row r="20">
      <c r="A20" s="6" t="inlineStr">
        <is>
          <t>新加坡门店 (估)</t>
        </is>
      </c>
      <c r="B20" s="4" t="inlineStr">
        <is>
          <t>—</t>
        </is>
      </c>
      <c r="C20" s="4" t="inlineStr">
        <is>
          <t>—</t>
        </is>
      </c>
      <c r="D20" s="4" t="inlineStr">
        <is>
          <t>—</t>
        </is>
      </c>
      <c r="E20" s="4" t="inlineStr">
        <is>
          <t>—</t>
        </is>
      </c>
      <c r="F20" s="5" t="inlineStr">
        <is>
          <t>未披露</t>
        </is>
      </c>
      <c r="G20" s="5" t="inlineStr">
        <is>
          <t>同上</t>
        </is>
      </c>
    </row>
    <row r="21">
      <c r="A21" s="6" t="inlineStr">
        <is>
          <t>美国门店 (LA 首店)</t>
        </is>
      </c>
      <c r="B21" s="7" t="inlineStr">
        <is>
          <t>—</t>
        </is>
      </c>
      <c r="C21" s="7" t="inlineStr">
        <is>
          <t>—</t>
        </is>
      </c>
      <c r="D21" s="7" t="inlineStr">
        <is>
          <t>—</t>
        </is>
      </c>
      <c r="E21" s="7" t="inlineStr">
        <is>
          <t>—</t>
        </is>
      </c>
      <c r="F21" s="5" t="inlineStr">
        <is>
          <t>2025 落地, 1 家</t>
        </is>
      </c>
      <c r="G21" s="5" t="inlineStr">
        <is>
          <t>招股书</t>
        </is>
      </c>
    </row>
    <row r="23">
      <c r="A23" s="11" t="inlineStr">
        <is>
          <t>数据源: 6-K Q1 26 (channel/region); 招股书 (品类, 缺数据). '推算' = 公式计算, '未披露' = 公司不披露</t>
        </is>
      </c>
    </row>
  </sheetData>
  <hyperlinks>
    <hyperlink xmlns:r="http://schemas.openxmlformats.org/officeDocument/2006/relationships" ref="A23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25" customWidth="1" min="10" max="10"/>
    <col width="25" customWidth="1" min="11" max="11"/>
  </cols>
  <sheetData>
    <row r="1">
      <c r="A1" s="1" t="inlineStr">
        <is>
          <t>公司</t>
        </is>
      </c>
      <c r="B1" s="1" t="inlineStr">
        <is>
          <t>代码</t>
        </is>
      </c>
      <c r="C1" s="1" t="inlineStr">
        <is>
          <t>营收 25 (¥B)</t>
        </is>
      </c>
      <c r="D1" s="1" t="inlineStr">
        <is>
          <t>净利 25 (¥B)</t>
        </is>
      </c>
      <c r="E1" s="1" t="inlineStr">
        <is>
          <t>净利率</t>
        </is>
      </c>
      <c r="F1" s="1" t="inlineStr">
        <is>
          <t>门店</t>
        </is>
      </c>
      <c r="G1" s="1" t="inlineStr">
        <is>
          <t>市值 (¥B)</t>
        </is>
      </c>
      <c r="H1" s="1" t="inlineStr">
        <is>
          <t>TTM PE</t>
        </is>
      </c>
      <c r="I1" s="1" t="inlineStr">
        <is>
          <t>Forward PE 26E</t>
        </is>
      </c>
      <c r="J1" s="1" t="inlineStr">
        <is>
          <t>source 26E</t>
        </is>
      </c>
      <c r="K1" s="1" t="inlineStr">
        <is>
          <t>数据源 25</t>
        </is>
      </c>
    </row>
    <row r="2">
      <c r="A2" s="14" t="inlineStr">
        <is>
          <t>CHAGEE</t>
        </is>
      </c>
      <c r="B2" s="15" t="inlineStr">
        <is>
          <t>CHA</t>
        </is>
      </c>
      <c r="C2" s="15" t="n">
        <v>12.91</v>
      </c>
      <c r="D2" s="15" t="n">
        <v>1.17</v>
      </c>
      <c r="E2" s="15" t="n">
        <v>9.1</v>
      </c>
      <c r="F2" s="15" t="n">
        <v>7531</v>
      </c>
      <c r="G2" s="15" t="n">
        <v>14.43</v>
      </c>
      <c r="H2" s="15" t="n">
        <v>12.3</v>
      </c>
      <c r="I2" s="15" t="n">
        <v>17</v>
      </c>
      <c r="J2" s="15" t="inlineStr">
        <is>
          <t>自建 (基于 Q1 26 -34% YoY)</t>
        </is>
      </c>
      <c r="K2" s="16" t="inlineStr">
        <is>
          <t>SEC 20-F</t>
        </is>
      </c>
    </row>
    <row r="3">
      <c r="A3" s="6" t="inlineStr">
        <is>
          <t>蜜雪冰城</t>
        </is>
      </c>
      <c r="B3" s="7" t="inlineStr">
        <is>
          <t>2097.HK</t>
        </is>
      </c>
      <c r="C3" s="7" t="n">
        <v>33.56</v>
      </c>
      <c r="D3" s="7" t="n">
        <v>5.88</v>
      </c>
      <c r="E3" s="7" t="n">
        <v>17.5</v>
      </c>
      <c r="F3" s="7" t="n">
        <v>59823</v>
      </c>
      <c r="G3" s="7" t="n">
        <v>75.40000000000001</v>
      </c>
      <c r="H3" s="7" t="n">
        <v>12.8</v>
      </c>
      <c r="I3" s="7" t="n">
        <v>14.7</v>
      </c>
      <c r="J3" s="7" t="inlineStr">
        <is>
          <t>东吴证券 2025-04-23</t>
        </is>
      </c>
      <c r="K3" s="17" t="inlineStr">
        <is>
          <t>蜜雪公告 2026-03-24</t>
        </is>
      </c>
    </row>
    <row r="4">
      <c r="A4" s="6" t="inlineStr">
        <is>
          <t>古茗</t>
        </is>
      </c>
      <c r="B4" s="4" t="inlineStr">
        <is>
          <t>1364.HK</t>
        </is>
      </c>
      <c r="C4" s="4" t="n">
        <v>12.91</v>
      </c>
      <c r="D4" s="4" t="n">
        <v>3.11</v>
      </c>
      <c r="E4" s="4" t="n">
        <v>24.1</v>
      </c>
      <c r="F4" s="4" t="n">
        <v>13554</v>
      </c>
      <c r="G4" s="4" t="n">
        <v>55</v>
      </c>
      <c r="H4" s="4" t="n">
        <v>17.7</v>
      </c>
      <c r="I4" s="4" t="n">
        <v>17.5</v>
      </c>
      <c r="J4" s="4" t="inlineStr">
        <is>
          <t>富瑞 Jefferies 2026-07-10</t>
        </is>
      </c>
      <c r="K4" s="17" t="inlineStr">
        <is>
          <t>古茗公告 2026-03-25</t>
        </is>
      </c>
    </row>
    <row r="5">
      <c r="A5" s="6" t="inlineStr">
        <is>
          <t>茶百道</t>
        </is>
      </c>
      <c r="B5" s="7" t="inlineStr">
        <is>
          <t>2555.HK</t>
        </is>
      </c>
      <c r="C5" s="7" t="n">
        <v>5.4</v>
      </c>
      <c r="D5" s="7" t="n">
        <v>0.8</v>
      </c>
      <c r="E5" s="7" t="n">
        <v>15.2</v>
      </c>
      <c r="F5" s="7" t="n">
        <v>8621</v>
      </c>
      <c r="G5" s="7" t="n">
        <v>11.5</v>
      </c>
      <c r="H5" s="7" t="n">
        <v>14.4</v>
      </c>
      <c r="I5" s="7" t="n">
        <v>14.6</v>
      </c>
      <c r="J5" s="7" t="inlineStr">
        <is>
          <t>国泰海通 2025-04-06</t>
        </is>
      </c>
      <c r="K5" s="17" t="inlineStr">
        <is>
          <t>茶百道公告 2026-03-27</t>
        </is>
      </c>
    </row>
    <row r="6">
      <c r="A6" s="6" t="inlineStr">
        <is>
          <t>奈雪</t>
        </is>
      </c>
      <c r="B6" s="4" t="inlineStr">
        <is>
          <t>2150.HK</t>
        </is>
      </c>
      <c r="C6" s="4" t="n">
        <v>4.33</v>
      </c>
      <c r="D6" s="4" t="n">
        <v>-0.24</v>
      </c>
      <c r="E6" s="4" t="n">
        <v>-5.6</v>
      </c>
      <c r="F6" s="4" t="n">
        <v>1646</v>
      </c>
      <c r="G6" s="4" t="n">
        <v>3.2</v>
      </c>
      <c r="H6" s="4" t="inlineStr">
        <is>
          <t>n.m.</t>
        </is>
      </c>
      <c r="I6" s="4" t="inlineStr">
        <is>
          <t>n.m.</t>
        </is>
      </c>
      <c r="J6" s="4" t="inlineStr">
        <is>
          <t>—</t>
        </is>
      </c>
      <c r="K6" s="17" t="inlineStr">
        <is>
          <t>奈雪公告 2026-03-26</t>
        </is>
      </c>
    </row>
    <row r="7">
      <c r="A7" s="18" t="inlineStr">
        <is>
          <t>同业 median (剔除奈雪亏损)</t>
        </is>
      </c>
      <c r="B7" s="19" t="inlineStr">
        <is>
          <t>—</t>
        </is>
      </c>
      <c r="C7" s="19" t="inlineStr">
        <is>
          <t>—</t>
        </is>
      </c>
      <c r="D7" s="19" t="inlineStr">
        <is>
          <t>—</t>
        </is>
      </c>
      <c r="E7" s="19" t="inlineStr">
        <is>
          <t>—</t>
        </is>
      </c>
      <c r="F7" s="19" t="inlineStr">
        <is>
          <t>—</t>
        </is>
      </c>
      <c r="G7" s="19" t="inlineStr">
        <is>
          <t>—</t>
        </is>
      </c>
      <c r="H7" s="19" t="inlineStr">
        <is>
          <t>**14.4x**</t>
        </is>
      </c>
      <c r="I7" s="19" t="inlineStr">
        <is>
          <t>**14.7x**</t>
        </is>
      </c>
      <c r="J7" s="19" t="inlineStr">
        <is>
          <t>—</t>
        </is>
      </c>
      <c r="K7" s="20" t="inlineStr">
        <is>
          <t>—</t>
        </is>
      </c>
    </row>
    <row r="8">
      <c r="A8" s="18" t="inlineStr">
        <is>
          <t>同业 mean (剔除奈雪)</t>
        </is>
      </c>
      <c r="B8" s="19" t="inlineStr">
        <is>
          <t>—</t>
        </is>
      </c>
      <c r="C8" s="19" t="inlineStr">
        <is>
          <t>—</t>
        </is>
      </c>
      <c r="D8" s="19" t="inlineStr">
        <is>
          <t>—</t>
        </is>
      </c>
      <c r="E8" s="19" t="inlineStr">
        <is>
          <t>—</t>
        </is>
      </c>
      <c r="F8" s="19" t="inlineStr">
        <is>
          <t>—</t>
        </is>
      </c>
      <c r="G8" s="19" t="inlineStr">
        <is>
          <t>—</t>
        </is>
      </c>
      <c r="H8" s="19" t="inlineStr">
        <is>
          <t>**15.0x**</t>
        </is>
      </c>
      <c r="I8" s="19" t="inlineStr">
        <is>
          <t>**15.6x**</t>
        </is>
      </c>
      <c r="J8" s="19" t="inlineStr">
        <is>
          <t>—</t>
        </is>
      </c>
      <c r="K8" s="20" t="inlineStr">
        <is>
          <t>—</t>
        </is>
      </c>
    </row>
    <row r="10">
      <c r="A10" s="5" t="inlineStr">
        <is>
          <t>数据源: 各公司 2025 年报 + 卖方研报 (26E 预测). 汇率 2026-07-31: USD/CNY 6.7575, HKD/CNY 0.9161. CHA Forward PE 自建, 同业卖方研报一致预期</t>
        </is>
      </c>
    </row>
    <row r="11">
      <c r="A11" s="11" t="inlineStr">
        <is>
          <t>汇率 source: 东方财富 (http://quote.eastmoney.com/unify/r/105.CHA 2026-07-31)</t>
        </is>
      </c>
    </row>
  </sheetData>
  <conditionalFormatting sqref="J3:J6">
    <cfRule type="cellIs" priority="1" operator="greaterThan" dxfId="0">
      <formula>15</formula>
    </cfRule>
    <cfRule type="cellIs" priority="2" operator="lessThan" dxfId="1">
      <formula>13</formula>
    </cfRule>
  </conditionalFormatting>
  <hyperlinks>
    <hyperlink xmlns:r="http://schemas.openxmlformats.org/officeDocument/2006/relationships" ref="A1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2026-08-08T09:10:52Z</dcterms:created>
  <dcterms:modified xmlns:dcterms="http://purl.org/dc/terms/" xmlns:xsi="http://www.w3.org/2001/XMLSchema-instance" xsi:type="dcterms:W3CDTF">2026-08-08T09:10:53Z</dcterms:modified>
</cp:coreProperties>
</file>